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66925"/>
  <mc:AlternateContent xmlns:mc="http://schemas.openxmlformats.org/markup-compatibility/2006">
    <mc:Choice Requires="x15">
      <x15ac:absPath xmlns:x15ac="http://schemas.microsoft.com/office/spreadsheetml/2010/11/ac" url="C:\Users\apouz\Documents\MANA\MANA\"/>
    </mc:Choice>
  </mc:AlternateContent>
  <xr:revisionPtr revIDLastSave="0" documentId="13_ncr:1_{AE1C3774-5AC4-43C2-AD1A-79A7B86219AA}" xr6:coauthVersionLast="43" xr6:coauthVersionMax="43" xr10:uidLastSave="{00000000-0000-0000-0000-000000000000}"/>
  <bookViews>
    <workbookView xWindow="-120" yWindow="-120" windowWidth="19440" windowHeight="10440" xr2:uid="{9130230D-EC30-3149-A704-041F1EA89E6D}"/>
  </bookViews>
  <sheets>
    <sheet name="Articles Oui_MANA" sheetId="87" r:id="rId1"/>
    <sheet name="Articles Non_MANA" sheetId="86" r:id="rId2"/>
  </sheets>
  <definedNames>
    <definedName name="Non_MANA_articles" localSheetId="1">'Articles Non_MANA'!$A$1:$J$1</definedName>
    <definedName name="Oui_MANA_articles" localSheetId="0">'Articles Oui_MANA'!$A$1:$L$62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2" i="87" l="1"/>
  <c r="L2" i="87"/>
  <c r="G3" i="87"/>
  <c r="L3" i="87"/>
  <c r="G4" i="87"/>
  <c r="L4" i="87"/>
  <c r="G5" i="87"/>
  <c r="L5" i="87"/>
  <c r="G6" i="87"/>
  <c r="L6" i="87"/>
  <c r="G7" i="87"/>
  <c r="L7" i="87"/>
  <c r="G8" i="87"/>
  <c r="L8" i="87"/>
  <c r="G9" i="87"/>
  <c r="L9" i="87"/>
  <c r="G10" i="87"/>
  <c r="L10" i="87"/>
  <c r="G11" i="87"/>
  <c r="L11" i="87"/>
  <c r="G12" i="87"/>
  <c r="L12" i="87"/>
  <c r="G13" i="87"/>
  <c r="L13" i="87"/>
  <c r="L14" i="87"/>
  <c r="G16" i="87"/>
  <c r="L16" i="87"/>
  <c r="G17" i="87"/>
  <c r="L17" i="87"/>
  <c r="G18" i="87"/>
  <c r="L18" i="87"/>
  <c r="G21" i="87"/>
  <c r="L21" i="87"/>
  <c r="G22" i="87"/>
  <c r="L22" i="87"/>
  <c r="G23" i="87"/>
  <c r="L23" i="87"/>
  <c r="G24" i="87"/>
  <c r="L24" i="87"/>
  <c r="G25" i="87"/>
  <c r="L25" i="87"/>
  <c r="G26" i="87"/>
  <c r="L26" i="87"/>
  <c r="G27" i="87"/>
  <c r="L27" i="87"/>
  <c r="G29" i="87"/>
  <c r="L29" i="87"/>
  <c r="G30" i="87"/>
  <c r="L30" i="87"/>
  <c r="G31" i="87"/>
  <c r="L31" i="87"/>
  <c r="G32" i="87"/>
  <c r="L32" i="87"/>
  <c r="G33" i="87"/>
  <c r="L33" i="87"/>
  <c r="G34" i="87"/>
  <c r="L34" i="87"/>
  <c r="G35" i="87"/>
  <c r="L35" i="87"/>
  <c r="G37" i="87"/>
  <c r="L37" i="87"/>
  <c r="G38" i="87"/>
  <c r="L38" i="87"/>
  <c r="L39" i="87"/>
  <c r="G40" i="87"/>
  <c r="L40" i="87"/>
  <c r="G41" i="87"/>
  <c r="L41" i="87"/>
  <c r="G42" i="87"/>
  <c r="L42" i="87"/>
  <c r="G43" i="87"/>
  <c r="L43" i="87"/>
  <c r="G44" i="87"/>
  <c r="L44" i="87"/>
  <c r="G45" i="87"/>
  <c r="L45" i="87"/>
  <c r="G46" i="87"/>
  <c r="L46" i="87"/>
  <c r="G47" i="87"/>
  <c r="L47" i="87"/>
  <c r="G48" i="87"/>
  <c r="L48" i="87"/>
  <c r="L49" i="87"/>
  <c r="G53" i="87"/>
  <c r="L53" i="87"/>
  <c r="G54" i="87"/>
  <c r="L54" i="87"/>
  <c r="G55" i="87"/>
  <c r="L55" i="87"/>
  <c r="G56" i="87"/>
  <c r="L56" i="87"/>
  <c r="G57" i="87"/>
  <c r="L57" i="87"/>
  <c r="G58" i="87"/>
  <c r="L58" i="87"/>
  <c r="G59" i="87"/>
  <c r="L59" i="87"/>
  <c r="G60" i="87"/>
  <c r="L60" i="87"/>
  <c r="G61" i="87"/>
  <c r="L61" i="87"/>
  <c r="L62" i="8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B96156-8343-44F8-B372-BA455F9F8C4F}" name="MANANon_MANA_articles" type="6" refreshedVersion="0" background="1">
    <textPr prompt="0" sourceFile="\Users\apouz\Documents\MANA\MANANon_MANA_articles.tsv" decimal="," thousands=" ">
      <textFields>
        <textField/>
      </textFields>
    </textPr>
  </connection>
  <connection id="2" xr16:uid="{60892F84-5AB5-4AFD-A352-A6BCAD9F7AD1}" name="Non_MANA_articles" type="6" refreshedVersion="0" background="1">
    <textPr prompt="0" sourceFile="/Users/pouzada/MANA_NLC/Non_MANA_articles.tsv" decimal="," thousands=" ">
      <textFields>
        <textField/>
      </textFields>
    </textPr>
  </connection>
  <connection id="3" xr16:uid="{ED7C59F4-2411-47B9-8E6C-F69F07D61FF3}" name="Non_MANA_articles1" type="6" refreshedVersion="0" background="1">
    <textPr prompt="0" sourceFile="/Users/pouzada/MANA_NLC/Non_MANA_articles.tsv" decimal="," thousands=" ">
      <textFields>
        <textField/>
      </textFields>
    </textPr>
  </connection>
  <connection id="4" xr16:uid="{02ECE39E-F165-42B2-A475-992B1C0B3FA3}" name="Non_MANA_articles2" type="6" refreshedVersion="0" background="1">
    <textPr prompt="0" sourceFile="/Users/pouzada/MANA_NLC/Non_MANA_articles.tsv" decimal="," thousands=" ">
      <textFields>
        <textField/>
      </textFields>
    </textPr>
  </connection>
  <connection id="5" xr16:uid="{DCF5ED82-4E2D-4814-858C-0214A3BFD512}" name="Non_MANA_articles3" type="6" refreshedVersion="0" background="1">
    <textPr prompt="0" sourceFile="/Users/pouzada/MANA_NLC/Non_MANA_articles.tsv" decimal="," thousands=" ">
      <textFields>
        <textField/>
      </textFields>
    </textPr>
  </connection>
  <connection id="6" xr16:uid="{A85A4689-E889-4631-8F28-9ECAB3FD8690}" name="Non_MANA_articles4" type="6" refreshedVersion="0" background="1">
    <textPr prompt="0" sourceFile="/Users/pouzada/MANA_NLC/Non_MANA_articles.tsv" decimal="," thousands=" ">
      <textFields>
        <textField/>
      </textFields>
    </textPr>
  </connection>
  <connection id="7" xr16:uid="{0FD566EC-C729-4729-BE40-048D5525F195}" name="Non_MANA_articles5" type="6" refreshedVersion="6" background="1" saveData="1">
    <textPr prompt="0" codePage="65001" sourceFile="C:\Users\apouz\Documents\MANA\MANA\Non_MANA_articles.tsv" decimal="," thousands=" " delimiter="/">
      <textFields count="12">
        <textField/>
        <textField/>
        <textField/>
        <textField/>
        <textField/>
        <textField/>
        <textField/>
        <textField/>
        <textField/>
        <textField/>
        <textField/>
        <textField/>
      </textFields>
    </textPr>
  </connection>
  <connection id="8" xr16:uid="{536C0DB5-BF45-4C24-A31B-4F8AF01FE1A0}" name="Oui_MANA_articles" type="6" refreshedVersion="0" background="1">
    <textPr prompt="0" sourceFile="/Users/pouzada/MANA_NLC/Oui_MANA_articles.tsv" decimal="," thousands=" ">
      <textFields>
        <textField/>
      </textFields>
    </textPr>
  </connection>
  <connection id="9" xr16:uid="{7A8ACFEC-5DDD-4884-9503-917F1C878E7D}" name="Oui_MANA_articles1" type="6" refreshedVersion="0" background="1">
    <textPr prompt="0" sourceFile="/Users/pouzada/MANA_NLC/Oui_MANA_articles.tsv" decimal="," thousands=" ">
      <textFields>
        <textField/>
      </textFields>
    </textPr>
  </connection>
  <connection id="10" xr16:uid="{CA8D0B0B-4AE3-4DF4-88F7-A12C5D427893}" name="Oui_MANA_articles2" type="6" refreshedVersion="0" background="1">
    <textPr prompt="0" sourceFile="/Users/pouzada/MANA_NLC/Oui_MANA_articles.tsv" decimal="," thousands=" ">
      <textFields>
        <textField/>
      </textFields>
    </textPr>
  </connection>
  <connection id="11" xr16:uid="{93FB83D9-F1BA-47EA-B347-10C7E411E130}" name="Oui_MANA_articles3" type="6" refreshedVersion="0" background="1">
    <textPr prompt="0" sourceFile="/Users/pouzada/MANA_NLC/Oui_MANA_articles.tsv" decimal="," thousands=" ">
      <textFields>
        <textField/>
      </textFields>
    </textPr>
  </connection>
  <connection id="12" xr16:uid="{4F6144AD-4744-45D1-90D0-6A88E7903EDA}" name="Oui_MANA_articles4" type="6" refreshedVersion="0" background="1">
    <textPr prompt="0" sourceFile="/Users/pouzada/MANA_NLC/Oui_MANA_articles.tsv" decimal="," thousands=" ">
      <textFields>
        <textField/>
      </textFields>
    </textPr>
  </connection>
  <connection id="13" xr16:uid="{EC461E2C-95CB-4D28-902B-93754EFDDCF8}" name="Oui_MANA_articles5" type="6" refreshedVersion="0" background="1">
    <textPr prompt="0" sourceFile="/Users/pouzada/MANA_NLC/Oui_MANA_articles.tsv" decimal="," thousands=" ">
      <textFields>
        <textField/>
      </textFields>
    </textPr>
  </connection>
  <connection id="14" xr16:uid="{7394E59E-BDB8-4020-B99E-C231E23A2B39}" name="Oui_MANA_articles6" type="6" refreshedVersion="0" background="1">
    <textPr prompt="0" sourceFile="/Users/pouzada/MANA_NLC/Oui_MANA_articles.tsv" decimal="," thousands=" ">
      <textFields>
        <textField/>
      </textFields>
    </textPr>
  </connection>
  <connection id="15" xr16:uid="{205F768A-D00A-4BED-807D-FB673EB64DB5}" name="Oui_MANA_articles7" type="6" refreshedVersion="0" background="1">
    <textPr prompt="0" sourceFile="Oui_MANA_articles.tsv" decimal="," thousands=" ">
      <textFields>
        <textField/>
      </textFields>
    </textPr>
  </connection>
  <connection id="16" xr16:uid="{F07B7903-5CF3-45BF-8482-318A82FD42A1}" name="Oui_MANA_articles8" type="6" refreshedVersion="0" background="1">
    <textPr prompt="0" sourceFile="./Oui_MANA_articles.tsv" decimal="," thousands=" ">
      <textFields>
        <textField/>
      </textFields>
    </textPr>
  </connection>
  <connection id="17" xr16:uid="{36C06053-4577-48FB-92C4-D630989DBF9F}" name="Oui_MANA_articles9" type="6" refreshedVersion="6" background="1" saveData="1">
    <textPr prompt="0" codePage="65001" sourceFile="C:\Users\apouz\Documents\MANA\MANA\Oui_MANA_articles.tsv" decimal="," thousands=" " delimiter="/">
      <textFields count="12">
        <textField/>
        <textField/>
        <textField/>
        <textField/>
        <textField/>
        <textField/>
        <textField/>
        <textField/>
        <textField/>
        <textField/>
        <textField/>
        <textField/>
      </textFields>
    </textPr>
  </connection>
  <connection id="18" xr16:uid="{48DF9A05-2193-4DD7-8500-F968C0DA75D9}" name="strFile" type="6" refreshedVersion="0" background="1">
    <textPr prompt="0" sourceFile="strFile" decimal="," thousands=" ">
      <textFields>
        <textField/>
      </textFields>
    </textPr>
  </connection>
  <connection id="19" xr16:uid="{B339D249-9391-491B-8D86-E9FCE2244B1A}" name="strFile1" type="6" refreshedVersion="0" background="1">
    <textPr prompt="0" sourceFile="strFile" decimal="," thousands=" ">
      <textFields>
        <textField/>
      </textFields>
    </textPr>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0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futureMetadata>
  <valueMetadata count="10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valueMetadata>
</metadata>
</file>

<file path=xl/sharedStrings.xml><?xml version="1.0" encoding="utf-8"?>
<sst xmlns="http://schemas.openxmlformats.org/spreadsheetml/2006/main" count="517" uniqueCount="462">
  <si>
    <t>flag</t>
  </si>
  <si>
    <t>company</t>
  </si>
  <si>
    <t>count_alerting_entities</t>
  </si>
  <si>
    <t>keyword(s)</t>
  </si>
  <si>
    <t>sentence(s)</t>
  </si>
  <si>
    <t>text</t>
  </si>
  <si>
    <t>sentiment</t>
  </si>
  <si>
    <t>sadness</t>
  </si>
  <si>
    <t>disgust</t>
  </si>
  <si>
    <t>anger</t>
  </si>
  <si>
    <t>joy</t>
  </si>
  <si>
    <t>total_sentiment</t>
  </si>
  <si>
    <t>REPSA</t>
  </si>
  <si>
    <t>Guatemalan palm oil company REPSA;palm oil;palm oil;palm oil;palm oil;high profile case of corruption;corruption;corruption;corruption;charges of corruption;massive spill of palm oil effluent;purchasing of palm oil;bribery;</t>
  </si>
  <si>
    <t>0.600623</t>
  </si>
  <si>
    <t>0.438711</t>
  </si>
  <si>
    <t>0.550853</t>
  </si>
  <si>
    <t>0.469082</t>
  </si>
  <si>
    <t>PepsiCo</t>
  </si>
  <si>
    <t>conflict palm oil;fundamental problems of rainforest destruction;acts of environmental destruction;deforestation-free palm oil;deforestation-free palm oil;deforestation;deforestation;deforestation;</t>
  </si>
  <si>
    <t>0.457615</t>
  </si>
  <si>
    <t>0.108504</t>
  </si>
  <si>
    <t>0.163962</t>
  </si>
  <si>
    <t>0.453847</t>
  </si>
  <si>
    <t>Wilmar International Ltd</t>
  </si>
  <si>
    <t>0.327524</t>
  </si>
  <si>
    <t>0.163698</t>
  </si>
  <si>
    <t>0.071919</t>
  </si>
  <si>
    <t>0.22878</t>
  </si>
  <si>
    <t>0.519062</t>
  </si>
  <si>
    <t>0.3548565</t>
  </si>
  <si>
    <t>Ferrero</t>
  </si>
  <si>
    <t>end deforestation;deforestation;</t>
  </si>
  <si>
    <t>0.249886</t>
  </si>
  <si>
    <t>0.069916</t>
  </si>
  <si>
    <t>0.086816</t>
  </si>
  <si>
    <t>0.386816</t>
  </si>
  <si>
    <t>NLC 3rd layer identified this article as relevant for MANA</t>
  </si>
  <si>
    <t>Unilever</t>
  </si>
  <si>
    <t>Unilever human rights abuses again under fire - IUF lodges complaint with UK government. For 5 long years workers at the Unilever factory in Doom Dooma, Assam, India have been denied the right to freely choose the union they wish to represent them to negotiate the terms and conditions of their employment. An agreement signed between the IUF and Unilever under the auspices of the UK government in 2010 set out procedures for rectifying this situation. Workers were to be given the possibility to choose their union in conditions of security and anonymity; the results were to be verified by a mutually-agreed third-party. The majority union would negotiate the new collective agreement when the one stitched up between management and the union they created in the course of the brutal 2007 lockout expired this year.This was a straightforward commitment from Unilever, with ample time for implementation. Since the agreement was signed, Unilever management has engaged in an endless series of delays and provocations to ensure that this agreement would not be implemented. Most recently, on June 19, Unilever Indian management orchestrated a dangerous provocation to show its contempt for the workers, their union and the agreement signed with the IUF. The company is preparing to sign a new agreement with an illegitimate organization to lock in the denial of rights for at least another 4 years.On June 20, the IUF lodged a formal complaint with the UK National Contact Point for the OECD Guidelines on Multinational Enterprises, holding Unilever to account for its serial violations of human rights. This latest complaint against Unilever brings to 10 the number of cases filed against this company for violations of the Guidelines, making it the corporate record holder.The IUF will fight with all available resources to ensure that the rights of its members in Doom Dooma, as elsewhere, are fully respected.</t>
  </si>
  <si>
    <t>0.630824</t>
  </si>
  <si>
    <t>0.154917</t>
  </si>
  <si>
    <t>0.46706</t>
  </si>
  <si>
    <t>0.121795</t>
  </si>
  <si>
    <t>Carrefour</t>
  </si>
  <si>
    <t>ACTION! In Paris, activists @amisdelaterre and @AnvCop21 call @Carrefour to say #StopHuileDePalme in fuel</t>
  </si>
  <si>
    <t>0.086439</t>
  </si>
  <si>
    <t>0.11447</t>
  </si>
  <si>
    <t>0.260454</t>
  </si>
  <si>
    <t>0.160629</t>
  </si>
  <si>
    <t>Walmart</t>
  </si>
  <si>
    <t>0.22734</t>
  </si>
  <si>
    <t>0.089583</t>
  </si>
  <si>
    <t>0.127521</t>
  </si>
  <si>
    <t>0.54616</t>
  </si>
  <si>
    <t>0.267449</t>
  </si>
  <si>
    <t>0.047516</t>
  </si>
  <si>
    <t>0.229852</t>
  </si>
  <si>
    <t>0.326495</t>
  </si>
  <si>
    <t xml:space="preserve"> and Guatemalan grassroots activists over corporate candy giantBERKELEY, CA — Following last week’s news that Guatemalan palm oil company REPSA had been charged in a high profile case of corruption, and pressure from Friends of the Earth and allies, Nestlé has quietly announced that it will phase out its purchasing of palm oil from REPSA;Nestlé suspends palm oil sourcing from Guatemalan company tied to corruption and ecocideVictory for U; and Guatemalan grassroots activists over corporate candy giantBERKELEY, CA — Following last week’s news that Guatemalan palm oil company REPSA had been charged in a high profile case of corruption, and pressure from Friends of the Earth and allies, Nestlé has quietly announced that it will phase out its purchasing of palm oil from REPSA;Since 2015, REPSA has been linked to a massive spill of palm oil effluent into Guatemala’s Pasion River and to the killing of indigenous community leader Rigoberto Lima Choc;We are urging all other companies who still have connections to REPSA to follow Nestlé’s lead and stop sourcing palm oil from REPSA and its parent conglomerate Grupo Olmeca; and Guatemalan grassroots activists over corporate candy giantBERKELEY, CA — Following last week’s news that Guatemalan palm oil company REPSA had been charged in a high profile case of corruption, and pressure from Friends of the Earth and allies, Nestlé has quietly announced that it will phase out its purchasing of palm oil from REPSA;Nestlé suspends palm oil sourcing from Guatemalan company tied to corruption and ecocideVictory for U; and Guatemalan grassroots activists over corporate candy giantBERKELEY, CA — Following last week’s news that Guatemalan palm oil company REPSA had been charged in a high profile case of corruption, and pressure from Friends of the Earth and allies, Nestlé has quietly announced that it will phase out its purchasing of palm oil from REPSA; It is frustrating, however, that it took charges of corruption and bribery for Nestlé to sever its relationship with REPSA, despite widespread public knowledge of REPSA’s actions, and the atmosphere of violence and impunity that permeates the region; It is frustrating, however, that it took charges of corruption and bribery for Nestlé to sever its relationship with REPSA, despite widespread public knowledge of REPSA’s actions, and the atmosphere of violence and impunity that permeates the region;Since 2015, REPSA has been linked to a massive spill of palm oil effluent into Guatemala’s Pasion River and to the killing of indigenous community leader Rigoberto Lima Choc; and Guatemalan grassroots activists over corporate candy giantBERKELEY, CA — Following last week’s news that Guatemalan palm oil company REPSA had been charged in a high profile case of corruption, and pressure from Friends of the Earth and allies, Nestlé has quietly announced that it will phase out its purchasing of palm oil from REPSA; It is frustrating, however, that it took charges of corruption and bribery for Nestlé to sever its relationship with REPSA, despite widespread public knowledge of REPSA’s actions, and the atmosphere of violence and impunity that permeates the region;</t>
  </si>
  <si>
    <t xml:space="preserve">Nestlé suspends palm oil sourcing from Guatemalan company tied to corruption and ecocideVictory for U.S. and Guatemalan grassroots activists over corporate candy giantBERKELEY, CA — Following last week’s news that Guatemalan palm oil company REPSA had been charged in a high profile case of corruption, and pressure from Friends of the Earth and allies, Nestlé has quietly announced that it will phase out its purchasing of palm oil from REPSA.Since 2015, REPSA has been linked to a massive spill of palm oil effluent into Guatemala’s Pasion River and to the killing of indigenous community leader Rigoberto Lima Choc. Earlier this year, news broke that several REPSA executives were subject to arrest orders in a high-profile tax fraud investigation in Guatemala. Following the corruption scandal and the public scrutiny it engendered, Nestlé became the latest company to take definitive action to cut ties to REPSA. Nestlé’s decision follows other companies’, including Cargill and Wilmar International, who severed ties with REPSA late last year after a two-year campaign by Friends of the Earth and allies in the U.S. and Guatemala.Jeff Conant, Senior International Forests Program Director at Friends of the Earth, issued the following statement in response:Nestlé’s decision to cut ties with REPSA is a step in the right direction and a victory for all the activists who have fought for years to bring REPSA’s actions to light. It is frustrating, however, that it took charges of corruption and bribery for Nestlé to sever its relationship with REPSA, despite widespread public knowledge of REPSA’s actions, and the atmosphere of violence and impunity that permeates the region.We are urging all other companies who still have connections to REPSA to follow Nestlé’s lead and stop sourcing palm oil from REPSA and its parent conglomerate Grupo Olmeca. Grassroots activists helped expose REPSA’s crimes and pressure corporations to cut ties with REPSA, and those same activists will continue to call out corporations who still have business ties to this destructive company.Many other popular brands have not yet announced whether or not they continue sourcing from REPSA. Colgate-Palmolive, Conagra Brands, Dunkin’ Brands, Grupo Bimbo, The Hershey Company, Kellogg Company, The Kraft Heinz Company, Krispy Kreme, Mars, Mondel_z, PepsiCo, Procter &amp; Gamble and Unilever are among the brands may still be sourcing from REPSA or from suppliers that continue to do business with REPSA or the company’s parent conglomerate, Grupo Hame/Grupo Olmeca. </t>
  </si>
  <si>
    <t>Green groups are pressuring PepsiCo to stop letting joint venture partners such as Indonesia’s biggest food company use its brand for products made with so-called conflict palm oil;”“This isn’t the first time that PepsiCo customers have forced the food giant to amend its palm oil policy,” Stinebrickner-Kauffman said in a statement, “but each time, PepsiCo fails to address the fundamental problems of rainforest destruction and the fact that workers across Southeast Asia, including children, are trapped in modern slavery in the production of palm oil; The report was conducted by Aidenvironment and chronicles numerous land conflicts with Indonesian communities and acts of environmental destruction the company has been involved in;”Asked subsequently whether that means PepsiCo is not legally able to require Indofood to use deforestation-free palm oil for PepsiCo branded products, Gonzalez did not respond; Nor did she answer a question of whether PepsiCo going forward would license out its brand to a company that hasn’t committed to using deforestation-free palm oil going forward;”Asked subsequently whether that means PepsiCo is not legally able to require Indofood to use deforestation-free palm oil for PepsiCo branded products, Gonzalez did not respond; Nor did she answer a question of whether PepsiCo going forward would license out its brand to a company that hasn’t committed to using deforestation-free palm oil going forward; The parent company is owned by the Salim Group and is one of the palm oil industry’s largest companies yet to promise to refrain from deforestation and peatlands conversion, whose widespread occurrence is fueling the ongoing wildfire and haze disasters in Sumatra and Borneo;</t>
  </si>
  <si>
    <t xml:space="preserve">    PepsiCo’s palm oil pledge should not exempt Indofood, NGOs say. PepsiCo has committed to purge its palm oil supply chain of deforestation, peatlands conversion and rights abuses, but the commitment does not apply to joint venture partners.    One of PepsiCo’s joint venture partners is Indofood, Indonesia’s largest food company and one of the biggest plantation companies.    NGOs like Rainforest Action Network are campaigning for the “loophole” to be plugged up.Green groups are pressuring PepsiCo to stop letting joint venture partners such as Indonesia’s biggest food company use its brand for products made with so-called conflict palm oil.The Rainforest Action Network says the inadequate scope of PepsiCo’s new pledge to eliminate deforestation, peatlands conversion and rights abuses from its palm oil supply chain constitutes a “loophole the size of Indonesia.” The Southeast Asian country is the world’s largest palm oil producer.Taren Stinebrickner-Kauffman, executive director of SumOfUs.org, an international consumer watchdog organization which has gathered hundreds of thousands of signatures against PepsiCo’s palm oil commitment, said the policy “falls far short.”“This isn’t the first time that PepsiCo customers have forced the food giant to amend its palm oil policy,” Stinebrickner-Kauffman said in a statement, “but each time, PepsiCo fails to address the fundamental problems of rainforest destruction and the fact that workers across Southeast Asia, including children, are trapped in modern slavery in the production of palm oil.” The latest version of PepsiCo’s policy makes no mention of joint venture partners. It only mentions “direct suppliers” of palm oil and says the commitment applies to them.According to RAN, PepsiCo asserted in discussions with the NGO that “it was not willing to state that its JVPs are required to comply with its policy,” Gemma Tillack, RAN’s head agribusiness campaigner, wrote in an email.“It is vital that PepsiCo’s palm oil commitment applies to all suppliers providing palm oil that is used to make PepsiCo branded products sold globally, not just the products made in PepsiCo’s own facilities,” Tillack said.Asked if the policy applies to Indofood, PepsiCo spokeswoman Aurora Gonzalez acknowledged via email “limitations, including legal ones,” around joint ventures, and added that PepsiCo has “engaged” Indofood and is “discussing the need to take further action.”Asked subsequently whether that means PepsiCo is not legally able to require Indofood to use deforestation-free palm oil for PepsiCo branded products, Gonzalez did not respond. Nor did she answer a question of whether PepsiCo going forward would license out its brand to a company that hasn’t committed to using deforestation-free palm oil going forward.“PepsiCo makes commitments and establishes policies based on understanding the issue, identifying realistic solutions and the ability to execute against an action plan,” she said in her only email.Indofood’s PT PP London Sumatra Tbk is one of Indonesia’s biggest oil palm plantation developers. The parent company is owned by the Salim Group and is one of the palm oil industry’s largest companies yet to promise to refrain from deforestation and peatlands conversion, whose widespread occurrence is fueling the ongoing wildfire and haze disasters in Sumatra and Borneo.Franky Welirang, a senior representative of the Indofood team, did not respond to a request for comment.As part of the campaign, RAN and Rainforest Foundation Norway commissioned a sustainability assessment of Indofood’s palm oil operations. The report was conducted by Aidenvironment and chronicles numerous land conflicts with Indonesian communities and acts of environmental destruction the company has been involved in.“Our documentation in the sustainability assessment report documents that Indofood have been involved in serious environmental damage, so their practice should qualify for divestment” from Norway’s global pension fund, said Nils Hermann Ranum, head of policy and campaigns at Rainforest Foundation Norway.“Indofood should read the writing on the wall,” he added.</t>
  </si>
  <si>
    <t>Expansion of oil palm;illegal oil palm plantations;Indonesia’s palm oil supply chain;illegal activities;two-thirds of the destruction of tiger habitat;Such destruction;dirty palm oil;</t>
  </si>
  <si>
    <t xml:space="preserve"> Expansion of oil palm and pulpwood plantations was responsible for nearly two-thirds of the destruction of tiger habitat from 2009 to 2011, the most recent period for which official Indonesian government data are available; In relation to Wilmar, Greenpeace has documented deep peatland fires in oil palm concessions; wholesale rainforest destruction and illegal oil palm plantations within the Tesso Nilo National Park, harvests from which have previously been tracked to Wilmar’s own mills and which continue to feed into Indonesia’s palm oil supply chain; and extensive clearance of both tiger and orang-utan habitat; In relation to Wilmar, Greenpeace has documented deep peatland fires in oil palm concessions; wholesale rainforest destruction and illegal oil palm plantations within the Tesso Nilo National Park, harvests from which have previously been tracked to Wilmar’s own mills and which continue to feed into Indonesia’s palm oil supply chain; and extensive clearance of both tiger and orang-utan habitat; Wilmar is known to own, have a significant stake in or trade with most of the producers Greenpeace has documented as engaging in such irresponsible or illegal activities; Expansion of oil palm and pulpwood plantations was responsible for nearly two-thirds of the destruction of tiger habitat from 2009 to 2011, the most recent period for which official Indonesian government data are available; Such destruction fragments the extensive tracts of rainforest over which tigers need to range in order to hunt;Greenpeace’s investigations have revealed that household names including Colgate Palmolive, Mondelez International (formerly Kraft), Neste Oil, Procter &amp; Gamble, Reckitt Benckiser and a host of other companies are linked to Singapore-based Wilmar International Ltd and its international trade in dirty palm oil;</t>
  </si>
  <si>
    <t>As few as 400 tigers are thought to remain in the rainforests of Sumatra, which are vanishing at a staggering rate – a quarter of a million hectares every year. Expansion of oil palm and pulpwood plantations was responsible for nearly two-thirds of the destruction of tiger habitat from 2009 to 2011, the most recent period for which official Indonesian government data are available. Such destruction fragments the extensive tracts of rainforest over which tigers need to range in order to hunt. Although Wilmar has undertaken to preserve high conservation value (HCV) forests and peatland on its own concessions, these areas supply less than 4% of the palm oil it trades and refines, with the remainder being produced by third-party suppliers. In relation to Wilmar, Greenpeace has documented deep peatland fires in oil palm concessions; wholesale rainforest destruction and illegal oil palm plantations within the Tesso Nilo National Park, harvests from which have previously been tracked to Wilmar’s own mills and which continue to feed into Indonesia’s palm oil supply chain; and extensive clearance of both tiger and orang-utan habitat. Wilmar is known to own, have a significant stake in or trade with most of the producers Greenpeace has documented as engaging in such irresponsible or illegal activities.Greenpeace’s investigations have revealed that household names including Colgate Palmolive, Mondelez International (formerly Kraft), Neste Oil, Procter &amp; Gamble, Reckitt Benckiser and a host of other companies are linked to Singapore-based Wilmar International Ltd and its international trade in dirty palm oil. Wilmar is the world’s largest palm oil processor, accounting for over one-third of the global palm oil processing market and with a distribution network covering over 50 countries.Greenpeace believes that Wilmar and the household brands that buy its palm oil must recognise the true costs of irresponsible palm oil production. They need to ensure that their palm oil supply makes a genuine contribution to Indonesia’s development, rather than destroying the future for its people, its wildlife and the global climate on which we all depend.</t>
  </si>
  <si>
    <t>Finally, “Ferrero is committed to working on the challenges to end deforestation in the cocoa sector” is not the same as committing to end all deforestation in your supply chain with a time-bound plan for this year and beyond;Finally, “Ferrero is committed to working on the challenges to end deforestation in the cocoa sector” is not the same as committing to end all deforestation in your supply chain with a time-bound plan for this year and beyond;</t>
  </si>
  <si>
    <t>Finally, “Ferrero is committed to working on the challenges to end deforestation in the cocoa sector” is not the same as committing to end all deforestation in your supply chain with a time-bound plan for this year and beyond. Can @FerreroUK do that?</t>
  </si>
  <si>
    <t>Those luxury Egyptian cotton sheets you own may not be luxurious – or Egyptian. Egyptian cotton, which can be spun into fine, long fiber to make sheets with a high thread count, is synonymous with luxury bedding. But in the last four months, it’s been at the center of a controversy that has caused many Americans to wonder whether the Egyptian cotton sheets they rely on for a good night’s sleep actually contain any cotton from Egypt.The controversy involves Welspun India, a giant home textile manufacturer. Target, Walmart and a handful of other big US retailers have pulled hundreds of thousands of bedding sheets off shelves after discovering that Welspun had sold them falsely labeled Egyptian cotton products.Welspun has seen its stock price tumble since Target led the defection in August when an investigation by the retailer found the 750,000 sheets and pillow cases that Welspun labeled as 100% Egyptian cotton were actually fake. Bed, Bath &amp; Beyond, also one of Welspun’s top customers, is the latest to stop selling the manufacturer’s 100% Egyptian cotton sheets, Bloomberg reported.Welspun, which sells its goods in more than 50 countries and generated $871.4m in annual revenue, is now facing consumer lawsuits over the fake sheets. Most recently, a suit was filed against Walmart, alleging that the store knew about the problem for years but didn’t pull the sheets until two months ago.The trouble Welspun is in demonstrates both the difficulties of monitoring a supply chain that stretches around the world and the power of a label to entice consumers to pay more for products they perceive to be superior. The Egyptian cotton label doesn’t present a verified claim of quality – all it signifies is that the cotton is grown in Egypt. The connection to luxury comes from the recognition that the cotton makes for strong, soft and tightly woven fabric. There are around 10 varieties of cotton farmed in Egypt, according to the US Department of Agriculture.The trouble of verifying a product’s origin and quality pops up in many products, not just bedding. It’s fairly common in the food business: Whole Foods and Safeway, for example, are among the major supermarkets that have gotten in trouble for selling extra virgin oil from Italy that didn’t meet either claim.Welspun is now facing a credibility check from one of the industry groups it belongs to: the Better Cotton Initiative (BCI), an international group that aims to promote the production of sustainable cotton. Part of the BCI’s role is to set standards to ensure the cotton its members use is in fact sustainably grown and harvested. Matthew Kempen, a spokesperson for the initiative, noted that the phrase “Egyptian cotton” is more of an indicator of quality and sustainability, and that BCI, which includes Ralph Lauren, Nike and Levi Strauss as members, doesn’t verify the origins of cotton.“As a matter of precaution we shall be contacting Welspun about the incident to request that they share their corrective actions with us, and we shall remind them that members contribute to credibility of BCI as a framework,” said Kempen.Dishonesty hurts a brand’s reputation as well as sales, said Tulin Erdem, a business and marketing professor who specializes in brand reputation management at New York University’s Stern School of Business. Welspun’s shares dropped by nearly 43% in the week following the announcement from Target, which was the manufacturer’s second largest customer and accounted for $90m, or 10% of the company’s business, in the fiscal year that ended in March.Retailers play a part in ensuring consumers get what they’re paying for. Although it can be difficult to track every manufacturer’s claim, retailers have a responsibility to take action promptly when they suspect dishonesty, said Erdem.Walmart’s actions – and whether it reacted quickly enough to protect its customers –are also under scrutiny. The lawsuit against Walmart claims that the company first became suspicious of Welspun’s Egyptian cotton label back in 2008, but only pulled the product off its shelves in September, after Target announced it was doing the same. Walmart declined to comment.Target said it was phasing out all products manufactured by Welspun under the “Fieldcrest” label after an investigation revealed sheets produced by the company between August 2014 and July 2016 used non-Egyptian cotton.“Retailers with a good reputation should be vigilant about whether the claimed quality is indeed the delivered quality,” Erdem said. “The decisions about what brands to carry need to be made carefully, and that is part of quality management for a manufacturer.”Welspun did not respond to the Guardian’s request for comment. The company said in a statement in September to shareholders that it had hired an accounting firm to investigate its cotton suppliers. “We take the current traceability concerns around some of our product lines very seriously,” the company said.Welspun said the products under investigation represented 6% of the company’s annual business, and its deal with Walmart accounted for 1.5% of annual sales.The dwindling supply of Egyptian cotton could be a factor that leads cotton suppliers to cheat. Egyptian cotton production has been on a steady decline over the past decade as the global price for cotton has dropped and the Egyptian government has removed subsidies to help farmers.According to the US Department of Agriculture, Egypt is expected to produce 395,000 bales of cotton in 2017, down from nearly 940,000 bales in 2005.While verifying claims on labels can be challenging, technology is making it easier for retailers to at least check the reputation of certain brands, said Erdem. A laboratory outside New York City offers DNA testing to verify whether textiles are made of premium cotton. If they are, a tiny barcode is sprayed on the cotton before it is turned into yarn, allowing it to be tracked throughout the production process.“Certain claims are almost not verifiable, such as whether a certain cream delays the onset of wrinkles in the long run,” said Erdem. “But some others are easier to verify, such as the origin of the main raw material.”</t>
  </si>
  <si>
    <t>A palm oil supplier to Mars, Nestlé, PepsiCo, and Unilever is destroying rainforests in Papua, Indonesia, a new investigation by Greenpeace International has revealed.</t>
  </si>
  <si>
    <t>palm oil supplier;</t>
  </si>
  <si>
    <t>A palm oil supplier to Mars, Nestlé, PepsiCo, and Unilever is destroying rainforests in Papua, Indonesia, a new investigation by Greenpeace International has revealed;</t>
  </si>
  <si>
    <t>Wilmar</t>
  </si>
  <si>
    <t>largest distributor of palm oil;supplier of palm oil;Indonesia's rainforest;Sustainable Palm Oil;palm oil;palm oil;palm oil;palm oil;palm oil;deforestation policies;dirty work;deforestation;deforestation;deforestation;deforestation;deforestation;deforestation;palm oil certification system;</t>
  </si>
  <si>
    <t>On June 25, Greenpeace published an investigation that stated that the company Wilmar International, the largest distributor of palm oil in the world, continued to destroy Indonesia's rainforest, almost five years after having committed to stop deforestation;This industrial giant caught red-handed in the international market, is the supplier of palm oil to major international brands such as Colgate-Palmolive, Hershey, Kellogg's, L'Oréal, Mars, Mondeléz, Nestlé, PepsiCo, Procter &amp; Gamble, PZ Cussons, Reckitt Benckiser and Unilever;On June 25, Greenpeace published an investigation that stated that the company Wilmar International, the largest distributor of palm oil in the world, continued to destroy Indonesia's rainforest, almost five years after having committed to stop deforestation;Wilmar belongs to the Round Table for Sustainable Palm Oil (RSPO) , a palm oil certification system that has made very little progress so far to prevent deforestation;On June 25, Greenpeace published an investigation that stated that the company Wilmar International, the largest distributor of palm oil in the world, continued to destroy Indonesia's rainforest, almost five years after having committed to stop deforestation;This industrial giant caught red-handed in the international market, is the supplier of palm oil to major international brands such as Colgate-Palmolive, Hershey, Kellogg's, L'Oréal, Mars, Mondeléz, Nestlé, PepsiCo, Procter &amp; Gamble, PZ Cussons, Reckitt Benckiser and Unilever; His brother-in-law, Hendri Saksti, head of Wilmar in Indonesia and manager of Gama Plantation, a company related to palm oil responsible for massive deforestation in Indonesia has also resigned;Wilmar belongs to the Round Table for Sustainable Palm Oil (RSPO) , a palm oil certification system that has made very little progress so far to prevent deforestation;Against this background, we are asking palm oil brands and retailers to suspend their business with Wilmar until this company seriously addresses the violations of its policy of non-deforestation, beginning by making public the maps of its forest concessions of all the groups of producers within its supply chain; Because Wilmar had committed to zero deforestation policies, he had delegated the dirty work to Gama Plantation; Because Wilmar had committed to zero deforestation policies, he had delegated the dirty work to Gama Plantation;On June 25, Greenpeace published an investigation that stated that the company Wilmar International, the largest distributor of palm oil in the world, continued to destroy Indonesia's rainforest, almost five years after having committed to stop deforestation; Because Wilmar had committed to zero deforestation policies, he had delegated the dirty work to Gama Plantation; This Gama company has deforested more than 25,000 hectares in the province of West Papua (Indonesia) since 2013, the year in which Wilmar committed to end its links with deforestation; His brother-in-law, Hendri Saksti, head of Wilmar in Indonesia and manager of Gama Plantation, a company related to palm oil responsible for massive deforestation in Indonesia has also resigned;Wilmar belongs to the Round Table for Sustainable Palm Oil (RSPO) , a palm oil certification system that has made very little progress so far to prevent deforestation;Against this background, we are asking palm oil brands and retailers to suspend their business with Wilmar until this company seriously addresses the violations of its policy of non-deforestation, beginning by making public the maps of its forest concessions of all the groups of producers within its supply chain;Wilmar belongs to the Round Table for Sustainable Palm Oil (RSPO) , a palm oil certification system that has made very little progress so far to prevent deforestation;</t>
  </si>
  <si>
    <t>On June 25, Greenpeace published an investigation that stated that the company Wilmar International, the largest distributor of palm oil in the world, continued to destroy Indonesia's rainforest, almost five years after having committed to stop deforestation. ) .This industrial giant caught red-handed in the international market, is the supplier of palm oil to major international brands such as Colgate-Palmolive, Hershey, Kellogg's, L'Oréal, Mars, Mondeléz, Nestlé, PepsiCo, Procter &amp; Gamble, PZ Cussons, Reckitt Benckiser and Unilever.Wilmar deceived all these producers by supplying palm oil through a cover company, Gama Plantation, also dedicated to the production of palm oil and directed by senior executives of Wilmar and members of his family. Because Wilmar had committed to zero deforestation policies, he had delegated the dirty work to Gama Plantation. This Gama company has deforested more than 25,000 hectares in the province of West Papua (Indonesia) since 2013, the year in which Wilmar committed to end its links with deforestation.As a result of the scandal, on July 4 it was learned that the co-founder of Wilmar had resigned from his position, just a week after Greenpeace revealed its links with Gama Plantation. His brother-in-law, Hendri Saksti, head of Wilmar in Indonesia and manager of Gama Plantation, a company related to palm oil responsible for massive deforestation in Indonesia has also resigned.Wilmar belongs to the Round Table for Sustainable Palm Oil (RSPO) , a palm oil certification system that has made very little progress so far to prevent deforestation. Greenpeace has requested this body a strong response against the company.Also coinciding with this scandal, just two days after the denunciation of Greenpeace, on June 27, the RSPO suspended the membership of the Nestlé company . Nestle had not reported its progress in the purchase of "sustainable" palm oil (supposedly sustainable would have to be said). In recent years, Greenpeace has denounced at least 5 cases of RSPO members who have destroyed the rainforest, including companies that are part of the RSPO's governing board and its conflict resolution panel . And the RSPO has not taken any action against them. And now suspend Nestlé for not buying enough RSPO palm oil. This shows that the RSPO is more concerned with raising money than protecting forests.Neither the RSPO nor the big producers like Wilmar are taking clear and determined steps to make their promises credible. It is necessary that the companies that destroy the forests remain outside the supply chain.Against this background, we are asking palm oil brands and retailers to suspend their business with Wilmar until this company seriously addresses the violations of its policy of non-deforestation, beginning by making public the maps of its forest concessions of all the groups of producers within its supply chain.</t>
  </si>
  <si>
    <t>0.530429</t>
  </si>
  <si>
    <t>0.176446</t>
  </si>
  <si>
    <t>0.177881</t>
  </si>
  <si>
    <t>0.548087</t>
  </si>
  <si>
    <t>Wilmar International</t>
  </si>
  <si>
    <t>world's largest palm oil distributor;human rights abuses;dirty work;palm oil;palm oil;palm oil;palm oil;palm oil;Wilmar's NDPE policy;deforestation;deforestation;deforestation;deforestation;deforestation;Wilmar's general manager;Indonesia's palm oil trade;</t>
  </si>
  <si>
    <t xml:space="preserve"> New research from Greenpeace International has revealed that Wilmar International , the world's largest palm oil distributor and supplier of international brands such as Nestlé, Unilever or Procter &amp; Gamble, continues to destroy the Indonesian rainforest almost five years after having committed to stop deforestation;Wilmar also has a history of evading her responsibilities for environmental and human rights abuses by selling her most controversial concessions to Gama; For years, Wilmar and Gama have worked together, with Gama doing the dirty work to make Wilmar's hands look clean; New research from Greenpeace International has revealed that Wilmar International , the world's largest palm oil distributor and supplier of international brands such as Nestlé, Unilever or Procter &amp; Gamble, continues to destroy the Indonesian rainforest almost five years after having committed to stop deforestation;Five years ago, the company undertook to sell palm oil free of deforestation , but Greenpeace reveals that it has systematically failed to comply with its obligations;The analysis of the trade data shows that Wilmar continues to sell palm oil from Gama to many of the major international brands, despite knowing that Gama violated Wilmar's NDPE policy of non-deforestation; Wilmar must immediately cut off all palm oil suppliers who can not prove that they are not destroying rainforests , "says Kiki Taufik, head of Indonesia's Southeast Asian Greenpeace forest campaign; Wilmar's general manager responsible for Indonesia's palm oil trade, Darwin Indigo, is the son of Gama's co-founder, Ganda, and also manages at least one Gama company;The analysis of the trade data shows that Wilmar continues to sell palm oil from Gama to many of the major international brands, despite knowing that Gama violated Wilmar's NDPE policy of non-deforestation; New research from Greenpeace International has revealed that Wilmar International , the world's largest palm oil distributor and supplier of international brands such as Nestlé, Unilever or Procter &amp; Gamble, continues to destroy the Indonesian rainforest almost five years after having committed to stop deforestation;Five years ago, the company undertook to sell palm oil free of deforestation , but Greenpeace reveals that it has systematically failed to comply with its obligations;The analysis of the trade data shows that Wilmar continues to sell palm oil from Gama to many of the major international brands, despite knowing that Gama violated Wilmar's NDPE policy of non-deforestation;Fictional companiesThe plantation sector of Southeast Asia is famous for the use of fictitious companies managed by managers or family members to hide deforestation; Last month, Greenpeace broke relations with Asia Pulp and Paper , the largest paper company in Indonesia, after  detecting deforestation  in two concessions related to APP and its parent company, the Sinar Mas Group; Wilmar's general manager responsible for Indonesia's palm oil trade, Darwin Indigo, is the son of Gama's co-founder, Ganda, and also manages at least one Gama company; Wilmar's general manager responsible for Indonesia's palm oil trade, Darwin Indigo, is the son of Gama's co-founder, Ganda, and also manages at least one Gama company;</t>
  </si>
  <si>
    <t>Supposedly they sell sustainable palm oil , but it's not true . New research from Greenpeace International has revealed that Wilmar International , the world's largest palm oil distributor and supplier of international brands such as Nestlé, Unilever or Procter &amp; Gamble, continues to destroy the Indonesian rainforest almost five years after having committed to stop deforestation.Five years ago, the company undertook to sell palm oil free of deforestation , but Greenpeace reveals that it has systematically failed to comply with its obligations. An investigation by the NGO concludes that a company linked to Wilmar has destroyed 21,500 hectares of rainforest in Indonesia since 2013, an extension similar to twice that of the city of Paris. In December 2013, Wilmar became the first palm oil merchant to make public its commitment to  "No Deforestation, No Destruction of Peatlands, No Exploitation " (NDPE), which applied both to its own plantations and of its suppliers. However, analysis of satellite images and mapping has shown that Gama destroyed 21,500 hectares of rainforest or peat bog forests since Wilmar signed his commitment [ see report ].Wilmar also has a history of evading her responsibilities for environmental and human rights abuses by selling her most controversial concessions to Gama.The analysis of the trade data shows that Wilmar continues to sell palm oil from Gama to many of the major international brands, despite knowing that Gama violated Wilmar's NDPE policy of non-deforestation. "Our investigation has discovered the true face of Wilmar. For years, Wilmar and Gama have worked together, with Gama doing the dirty work to make Wilmar's hands look clean. But now we have uncovered the truth, and Wilmar's CEO, Kuok Khoon Hong, must take a radical turn to save his reputation. Wilmar must immediately cut off all palm oil suppliers who can not prove that they are not destroying rainforests , "says Kiki Taufik, head of Indonesia's Southeast Asian Greenpeace forest campaign.Wilmar denies having had any influence on Gama, though he admitted in a fax to Greenpeace International that Gama is run by senior executives of Wilmar and members of his family. Wilmar's general manager responsible for Indonesia's palm oil trade, Darwin Indigo, is the son of Gama's co-founder, Ganda, and also manages at least one Gama company. Darwin's brother, Andy Indigo, administers other Gama concessions.Fictional companiesThe plantation sector of Southeast Asia is famous for the use of fictitious companies managed by managers or family members to hide deforestation. Last month, Greenpeace broke relations with Asia Pulp and Paper , the largest paper company in Indonesia, after  detecting deforestation  in two concessions related to APP and its parent company, the Sinar Mas Group.Wilmar is part of the council of the Roundtable on Sustainable Palm Oil (RSPO). At least one Gama company,  S &amp; G Biofuel Ltd , is also a member of the RSPO. According to the rules of the RSPO, companies that share administration or control should be treated as a single group. This makes Wilmar responsible for what happens in the Gama concessions.Greenpeace is asking the RSPO to enforce its rules and require Wilmar and Gama to register as a single group and suspend Wilmar until they restore the area of ​​destroyed rainforest.</t>
  </si>
  <si>
    <t>0.550658</t>
  </si>
  <si>
    <t>0.112564</t>
  </si>
  <si>
    <t>0.147293</t>
  </si>
  <si>
    <t>0.481934</t>
  </si>
  <si>
    <t>major palm oil producers;palm oil groups;rainforest destruction;rainforest destruction;palm oil industry12 brands;world’s largest palm oil trader;habitat destruction;deforestation;deforestation;deforestation;deforestation;deforestation;palm oil groupsThe investigation;comprehensive assessment of deforestation;illegal clearance;</t>
  </si>
  <si>
    <t>Greenpeace International assessed deforestation by 25 major palm oil producers and found that:25 palm oil groups had cleared over 130,000ha of rainforest since the end of 201540% of deforestation (51,600ha) was in Papua, Indonesia – one of the most biodiverse regions on earth and until recently untouched by the palm oil industry12 brands were sourcing from at least 20 of the palm oil groups: Colgate-Palmolive, General Mills, Hershey, Kellogg’s, Kraft Heinz, L’Oreal, Mars, Mondelez, Nestlé, PepsiCo, Reckitt Benckiser and UnileverWilmar, the world’s largest palm oil trader, was buying from 18 of the palm oil groupsThe investigation exposes the total failure of Wilmar International, the world’s largest palm oil trader, to break its links to rainforest destruction;Greenpeace International assessed deforestation by 25 major palm oil producers and found that:25 palm oil groups had cleared over 130,000ha of rainforest since the end of 201540% of deforestation (51,600ha) was in Papua, Indonesia – one of the most biodiverse regions on earth and until recently untouched by the palm oil industry12 brands were sourcing from at least 20 of the palm oil groups: Colgate-Palmolive, General Mills, Hershey, Kellogg’s, Kraft Heinz, L’Oreal, Mars, Mondelez, Nestlé, PepsiCo, Reckitt Benckiser and UnileverWilmar, the world’s largest palm oil trader, was buying from 18 of the palm oil groupsThe investigation exposes the total failure of Wilmar International, the world’s largest palm oil trader, to break its links to rainforest destruction;A Greenpeace investigation has exposed how the world’s biggest brands are still linked to rainforest destruction in Indonesia;Greenpeace International assessed deforestation by 25 major palm oil producers and found that:25 palm oil groups had cleared over 130,000ha of rainforest since the end of 201540% of deforestation (51,600ha) was in Papua, Indonesia – one of the most biodiverse regions on earth and until recently untouched by the palm oil industry12 brands were sourcing from at least 20 of the palm oil groups: Colgate-Palmolive, General Mills, Hershey, Kellogg’s, Kraft Heinz, L’Oreal, Mars, Mondelez, Nestlé, PepsiCo, Reckitt Benckiser and UnileverWilmar, the world’s largest palm oil trader, was buying from 18 of the palm oil groupsThe investigation exposes the total failure of Wilmar International, the world’s largest palm oil trader, to break its links to rainforest destruction;Greenpeace International assessed deforestation by 25 major palm oil producers and found that:25 palm oil groups had cleared over 130,000ha of rainforest since the end of 201540% of deforestation (51,600ha) was in Papua, Indonesia – one of the most biodiverse regions on earth and until recently untouched by the palm oil industry12 brands were sourcing from at least 20 of the palm oil groups: Colgate-Palmolive, General Mills, Hershey, Kellogg’s, Kraft Heinz, L’Oreal, Mars, Mondelez, Nestlé, PepsiCo, Reckitt Benckiser and UnileverWilmar, the world’s largest palm oil trader, was buying from 18 of the palm oil groupsThe investigation exposes the total failure of Wilmar International, the world’s largest palm oil trader, to break its links to rainforest destruction;Greenpeace International assessed deforestation by 25 major palm oil producers and found that:25 palm oil groups had cleared over 130,000ha of rainforest since the end of 201540% of deforestation (51,600ha) was in Papua, Indonesia – one of the most biodiverse regions on earth and until recently untouched by the palm oil industry12 brands were sourcing from at least 20 of the palm oil groups: Colgate-Palmolive, General Mills, Hershey, Kellogg’s, Kraft Heinz, L’Oreal, Mars, Mondelez, Nestlé, PepsiCo, Reckitt Benckiser and UnileverWilmar, the world’s largest palm oil trader, was buying from 18 of the palm oil groupsThe investigation exposes the total failure of Wilmar International, the world’s largest palm oil trader, to break its links to rainforest destruction;Palm oil impacts on environment, people and climateHalf of the Bornean orangutan population has been wiped out in just 16 years, with habitat destruction by the palm oil industry a leading driver;Greenpeace International assessed deforestation by 25 major palm oil producers and found that:25 palm oil groups had cleared over 130,000ha of rainforest since the end of 201540% of deforestation (51,600ha) was in Papua, Indonesia – one of the most biodiverse regions on earth and until recently untouched by the palm oil industry12 brands were sourcing from at least 20 of the palm oil groups: Colgate-Palmolive, General Mills, Hershey, Kellogg’s, Kraft Heinz, L’Oreal, Mars, Mondelez, Nestlé, PepsiCo, Reckitt Benckiser and UnileverWilmar, the world’s largest palm oil trader, was buying from 18 of the palm oil groupsThe investigation exposes the total failure of Wilmar International, the world’s largest palm oil trader, to break its links to rainforest destruction; In 2013, Greenpeace International revealed that Wilmar and its suppliers were responsible for deforestation, illegal clearance, fires on peatland and extensive clearance of tiger habitat;In addition to deforestation, the 25 individual cases in the report include evidence of exploitation and social conflicts, illegal deforestation, development without permits, plantation development in areas zoned for protection and forest fires linked to land clearance; It is also the most comprehensive assessment of deforestation in Papua, Indonesia;The plantation sector – palm oil and pulp – is the single largest driver of deforestation in Indonesia;Greenpeace International assessed deforestation by 25 major palm oil producers and found that:25 palm oil groups had cleared over 130,000ha of rainforest since the end of 201540% of deforestation (51,600ha) was in Papua, Indonesia – one of the most biodiverse regions on earth and until recently untouched by the palm oil industry12 brands were sourcing from at least 20 of the palm oil groups: Colgate-Palmolive, General Mills, Hershey, Kellogg’s, Kraft Heinz, L’Oreal, Mars, Mondelez, Nestlé, PepsiCo, Reckitt Benckiser and UnileverWilmar, the world’s largest palm oil trader, was buying from 18 of the palm oil groupsThe investigation exposes the total failure of Wilmar International, the world’s largest palm oil trader, to break its links to rainforest destruction; It is also the most comprehensive assessment of deforestation in Papua, Indonesia; In 2013, Greenpeace International revealed that Wilmar and its suppliers were responsible for deforestation, illegal clearance, fires on peatland and extensive clearance of tiger habitat;</t>
  </si>
  <si>
    <t>A Greenpeace investigation has exposed how the world’s biggest brands are still linked to rainforest destruction in Indonesia.Palm oil suppliers to the world’s largest brands, including Unilever, Nestlé, Colgate-Palmolive and Mondelez, have destroyed an area of rainforest almost twice the size of Singapore in less than three years, according to the report.Greenpeace International assessed deforestation by 25 major palm oil producers and found that:25 palm oil groups had cleared over 130,000ha of rainforest since the end of 201540% of deforestation (51,600ha) was in Papua, Indonesia – one of the most biodiverse regions on earth and until recently untouched by the palm oil industry12 brands were sourcing from at least 20 of the palm oil groups: Colgate-Palmolive, General Mills, Hershey, Kellogg’s, Kraft Heinz, L’Oreal, Mars, Mondelez, Nestlé, PepsiCo, Reckitt Benckiser and UnileverWilmar, the world’s largest palm oil trader, was buying from 18 of the palm oil groupsThe investigation exposes the total failure of Wilmar International, the world’s largest palm oil trader, to break its links to rainforest destruction. In 2013, Greenpeace International revealed that Wilmar and its suppliers were responsible for deforestation, illegal clearance, fires on peatland and extensive clearance of tiger habitat. Later that year, Wilmar announced a groundbreaking ‘no deforestation, no peat, no exploitation’ policy. Yet Greenpeace’s analysis found that Wilmar still gets its palm oil from groups that are destroying rainforests and stealing land from local communities.In addition to deforestation, the 25 individual cases in the report include evidence of exploitation and social conflicts, illegal deforestation, development without permits, plantation development in areas zoned for protection and forest fires linked to land clearance. It is also the most comprehensive assessment of deforestation in Papua, Indonesia.Palm oil impacts on environment, people and climateHalf of the Bornean orangutan population has been wiped out in just 16 years, with habitat destruction by the palm oil industry a leading driver. More than three-quarters of Tesso Nilo national park, home to tigers, orangutans and elephants, has been converted into illegal palm oil plantations. Globally, 193 Critically Endangered, Threatened and Vulnerable species are threatened by palm oil production.The plantation sector – palm oil and pulp – is the single largest driver of deforestation in Indonesia. Around 24 million hectares of rainforest was destroyed in Indonesia between 1990 and 2015, according to official figures released by the Indonesian government [1].Deforestation and peatland destruction are major sources of greenhouse gas emissions which contribute to climate change. This has pushed Indonesia into the top tier of global emitters, alongside the United States of America and China.Plantation development is a root cause of Indonesia’s forest and peatland fires. In July 2015, devastating blazes spread in Sumatra, Kalimantan and Papua. These fires produced a haze that affected millions of people across Southeast Asia. Researchers at Harvard and Columbia Universities estimate that the smoke from 2015 Indonesian fires may have caused 100,000 premature deaths. The World Bank calculated the cost of the disaster at US$16bn.Wilmar International and other palm oil companies are regularly accused of exploiting workers, children and local communities.</t>
  </si>
  <si>
    <t>0.504898</t>
  </si>
  <si>
    <t>0.120926</t>
  </si>
  <si>
    <t>0.503974</t>
  </si>
  <si>
    <t>0.156621</t>
  </si>
  <si>
    <t>Greenpeace International</t>
  </si>
  <si>
    <t>major palm oil producers;palm oil;palm oil;palm oil;palm oil;palm oil operator;illegal expansion of their plantations;destruction;destruction;destruction;destruction;massive destruction of the Sumatran tiger habitat;deforestation;deforestation;</t>
  </si>
  <si>
    <t xml:space="preserve"> The report also reveals that twenty-five major palm oil producers are responsible not only for deforestation, for illegal expansion of their plantations and fires, but also for exploitation of workers; The report also reveals that twenty-five major palm oil producers are responsible not only for deforestation, for illegal expansion of their plantations and fires, but also for exploitation of workers; Colgate-Palmolive, General Mills, Hershey, Kellogg's, Kraft Heinz, L'Oreal, Mars, Mondelez, Nestle, PepsiCo, Reckitt Benckiser and Unilever have purchased palm oil from at least twenty of these producers;In 2013, Greenpeace International revealed that Wilmar - the agro business giant and the world's leading palm oil operator - and its suppliers were responsible for deforestation, peat fires and massive destruction of the Sumatran tiger habitat; The refinery, located on the Indonesian island of Sulawesi, works the palm oil of three of the producers mentioned in the report "Final Countdown" because guilty of the destruction of the rainforests on the Indonesian islands of Kalimantan and Papua;In 2013, Greenpeace International revealed that Wilmar - the agro business giant and the world's leading palm oil operator - and its suppliers were responsible for deforestation, peat fires and massive destruction of the Sumatran tiger habitat; The report also reveals that twenty-five major palm oil producers are responsible not only for deforestation, for illegal expansion of their plantations and fires, but also for exploitation of workers;The announcement of the Indonesian government arrived the day after the launch of the " Final countdown " Greenpeace report , which denounces the destruction of 130,000 hectares of rainforest since 2015, 40% of which in Papua, one of the richest biodiversity regions of the Planet;In 2013, Greenpeace International revealed that Wilmar - the agro business giant and the world's leading palm oil operator - and its suppliers were responsible for deforestation, peat fires and massive destruction of the Sumatran tiger habitat; The refinery, located on the Indonesian island of Sulawesi, works the palm oil of three of the producers mentioned in the report "Final Countdown" because guilty of the destruction of the rainforests on the Indonesian islands of Kalimantan and Papua; Despite this, the destruction of Indonesian rainforests, due to the expansion of oil palm plantations, showed no sign of slowing down;In 2013, Greenpeace International revealed that Wilmar - the agro business giant and the world's leading palm oil operator - and its suppliers were responsible for deforestation, peat fires and massive destruction of the Sumatran tiger habitat; The report also reveals that twenty-five major palm oil producers are responsible not only for deforestation, for illegal expansion of their plantations and fires, but also for exploitation of workers;In 2013, Greenpeace International revealed that Wilmar - the agro business giant and the world's leading palm oil operator - and its suppliers were responsible for deforestation, peat fires and massive destruction of the Sumatran tiger habitat;</t>
  </si>
  <si>
    <t>On 20 September, Indonesian President Joko Widodo announced the decision to suspend for three years the concession of new land to be used in the cultivation of oil palm trees. The moratorium applies however only to land controlled by the Indonesian Ministry of Forests and does not affect those controlled by the regional government or forest areas that are part of existing concessions, thus leaving millions of hectares of forest and peat without protection.The announcement of the Indonesian government arrived the day after the launch of the " Final countdown " Greenpeace report , which denounces the destruction of 130,000 hectares of rainforest since 2015, 40% of which in Papua, one of the richest biodiversity regions of the Planet. The report also reveals that twenty-five major palm oil producers are responsible not only for deforestation, for illegal expansion of their plantations and fires, but also for exploitation of workers. Colgate-Palmolive, General Mills, Hershey, Kellogg's, Kraft Heinz, L'Oreal, Mars, Mondelez, Nestle, PepsiCo, Reckitt Benckiser and Unilever have purchased palm oil from at least twenty of these producers.In 2013, Greenpeace International revealed that Wilmar - the agro business giant and the world's leading palm oil operator - and its suppliers were responsible for deforestation, peat fires and massive destruction of the Sumatran tiger habitat. At the end of that year, the multinational had announced an ambitious policy of "no-deforestation, no-destruction of peatlands and no-exploitation of workers". But as we read in the new report, Wilmar continues to buy palm oil from at least 18 suppliers who destroy forests and expropriate land for local communities.To protest this inconsistency, on 30 September 2018 thirty Greenpeace activists blocked a tanker carrying palm oil and occupied a refinery owned by Wilmar. The refinery, located on the Indonesian island of Sulawesi, works the palm oil of three of the producers mentioned in the report "Final Countdown" because guilty of the destruction of the rainforests on the Indonesian islands of Kalimantan and Papua. Endangered species live on these islands, like the orangutans and birds of paradise.Unfortunately Wilmar is not the exception. Between 2010 and 2015, the major palm oil suppliers and many multinationals using this raw material have committed to eliminating deforestation, peat destruction and the violation of the rights of workers and local communities from their supply chain . All by 2020. Despite this, the destruction of Indonesian rainforests, due to the expansion of oil palm plantations, showed no sign of slowing down.For these reasons, we again ask companies to respect and enforce their suppliers with commitments to be implemented by 2020 to stop the destruction of Indonesian forests before it is too late. You can not wait any longer.</t>
  </si>
  <si>
    <t>0.239426</t>
  </si>
  <si>
    <t>0.093955</t>
  </si>
  <si>
    <t>0.516022</t>
  </si>
  <si>
    <t>0.542714</t>
  </si>
  <si>
    <t>Indonesia's rainforest;world's largest palm oil distributor;human rights abuses;dirty work;palm oil;palm oil;palm oil;palm oil;palm oil;violation of Wilmar;deforestation;deforestation;deforestation;deforestation;</t>
  </si>
  <si>
    <t xml:space="preserve"> A new research by Greenpeace International has revealed that Wilmar International, the world's largest palm oil distributor and supplier of international brands such as Nestle, Unilever or Procter &amp; Gamble, continues to destroy Indonesia's rainforest almost five years after it was committed to halting deforestation; A new research by Greenpeace International has revealed that Wilmar International, the world's largest palm oil distributor and supplier of international brands such as Nestle, Unilever or Procter &amp; Gamble, continues to destroy Indonesia's rainforest almost five years after it was committed to halting deforestation; Wilmar also has a history of evasion of his responsibilities for environmental and human rights abuses through the sale of his most controversial concessions to Gama; For years, Wilmar and Gama have worked together, with Gama doing the dirty work to make Wilmar's hands look clean; A new research by Greenpeace International has revealed that Wilmar International, the world's largest palm oil distributor and supplier of international brands such as Nestle, Unilever or Procter &amp; Gamble, continues to destroy Indonesia's rainforest almost five years after it was committed to halting deforestation; Five years ago, the company promised to sell palm oil free of deforestation, but Greenpeace says it has consistently failed to comply;The analysis of trade data shows that Wilmar continues to sell palm oil from the He loves many of the great international brands, despite knowing that Gama was in violation of Wilmar's NDPE policy of non deforestation; Wilmar must immediately cut off all suppliers of palm oil that can't prove they are not destroying the rainforests, " says Kiki Taufik, head of Greenpeace's Southeast Asian forest campaign; Wilmar's general manager responsible for the palm oil trade in Indonesia, Darwin Indigo, is the son of Gama's co-founder, Ganda, and also manages at least one company in Gama;The analysis of trade data shows that Wilmar continues to sell palm oil from the He loves many of the great international brands, despite knowing that Gama was in violation of Wilmar's NDPE policy of non deforestation; A new research by Greenpeace International has revealed that Wilmar International, the world's largest palm oil distributor and supplier of international brands such as Nestle, Unilever or Procter &amp; Gamble, continues to destroy Indonesia's rainforest almost five years after it was committed to halting deforestation; Five years ago, the company promised to sell palm oil free of deforestation, but Greenpeace says it has consistently failed to comply;The analysis of trade data shows that Wilmar continues to sell palm oil from the He loves many of the great international brands, despite knowing that Gama was in violation of Wilmar's NDPE policy of non deforestation; Last month, Greenpeace broke ties with Asia Pulp and Paper, Indonesia's largest paper company, after deforestation was detected in two APP-related concessions and its parent company, the Sinar Mas;</t>
  </si>
  <si>
    <t>They supposedly sell sustainable palm oil, but it's not true. A new research by Greenpeace International has revealed that Wilmar International, the world's largest palm oil distributor and supplier of international brands such as Nestle, Unilever or Procter &amp; Gamble, continues to destroy Indonesia's rainforest almost five years after it was committed to halting deforestation. Five years ago, the company promised to sell palm oil free of deforestation, but Greenpeace says it has consistently failed to comply. with their obligations. An investigation by the NGO has concluded that a company linked to Wilmar has destroyed 21,500 hectares of rainforest in Indonesia since 2013, a twice-a-year extension of the city of Paris. In December 2013, Wilmar became the first palm oil trader to make public his commitment to "No Deforestation, No Destroying of Turberas, Non-Exploitation" (NDPE), which was of application both on its own plantations and on its suppliers. However, the analysis of satellite imagery and cartography has shown that Gama destroyed 21,500 hectares of rainforest or peat forests since Wilmar signed his commitment [ see report]. Wilmar also has a history of evasion of his responsibilities for environmental and human rights abuses through the sale of his most controversial concessions to Gama.The analysis of trade data shows that Wilmar continues to sell palm oil from the He loves many of the great international brands, despite knowing that Gama was in violation of Wilmar's NDPE policy of non deforestation. " Our investigation has uncovered the true face of Wilmar. For years, Wilmar and Gama have worked together, with Gama doing the dirty work to make Wilmar's hands look clean. But we have now uncovered the truth, and Wilmar's CEO, Kuok Khoon Hong, must take a radical turn to salvage his reputation. Wilmar must immediately cut off all suppliers of palm oil that can't prove they are not destroying the rainforests, " says Kiki Taufik, head of Greenpeace's Southeast Asian forest campaign. Wilmar denies having any influence over Gama, though he admitted in a fax to Greenpeace International that Gama is run by senior Wilmar executives and members of his family. Wilmar's general manager responsible for the palm oil trade in Indonesia, Darwin Indigo, is the son of Gama's co-founder, Ganda, and also manages at least one company in Gama. Darwin's brother, Andy Indigo, administers other concessions from Gama.fictitious Companies. The Southeast Asian plantation sector is famous for the use of fictitious companies managed by managers or family members to hide deforestation. Last month, Greenpeace broke ties with Asia Pulp and Paper, Indonesia's largest paper company, after deforestation was detected in two APP-related concessions and its parent company, the Sinar Mas.Wilmar Group, is part of the council of the Roundtable on Sustainable Palm Oil (RSPO). At least one company from Gama, S&amp;G Biofuel Ltd, is also a member of the RSPO. Under the rules of the RSPO, companies that share administration or control should be treated as a single group. This makes Wilmar responsible for what happens in Gama.Greenpeace's concessions. Greenpeace is asking the RSPO to enforce its rules and require Wilmar and Gama to register as a single group and suspend Wilmar until it restores the destroyed rainforest surface.</t>
  </si>
  <si>
    <t>0.575081</t>
  </si>
  <si>
    <t>0.104591</t>
  </si>
  <si>
    <t>0.145416</t>
  </si>
  <si>
    <t>0.461309</t>
  </si>
  <si>
    <t>The Salim Group</t>
  </si>
  <si>
    <t>ongoing deforestation;Largest Cases of Illegal Rainforest Clearance;Palm Oil DevelopmentMajor;future palm oil plantations;Salim Group’s financiers;sustainability norms of deforestation-free development;ongoing conflict;illegal deforestation;illegal deforestation;illegal deforestation;Salim Group companies;Salim Group companies;illegal clearance of tropical rainforests;</t>
  </si>
  <si>
    <t>The Salim Group was first made aware of the ongoing deforestation in February 2016, but failed to intervene despite repeated government instructions to halt peat forest development;New Report Uncovers One of the Largest Cases of Illegal Rainforest Clearance in Borneo for Palm Oil DevelopmentMajor international banks and brands connected to company controlled by notorious Indonesian business tycoon, knowingly clear-cutting tropical rainforests;New Report Uncovers One of the Largest Cases of Illegal Rainforest Clearance in Borneo for Palm Oil DevelopmentMajor international banks and brands connected to company controlled by notorious Indonesian business tycoon, knowingly clear-cutting tropical rainforests; Currently, approximately 10,000 hectares of peat forest have been cleared illegally for future palm oil plantations, despite Indonesian regulations and company commitments against further peat development and deforestation; “Meanwhile, The Salim Group’s financiers and business partners––like PepsiCo––are complicit in the illegal deforestation, as they continue to do business with Salim without issue; PepsiCo, Nestle and Wilmar must bring their business partner into compliance with Indonesian law and sustainability norms of deforestation-free development or exit their business relationships;”  The Salim Group companies are marred by ongoing conflict; “Meanwhile, The Salim Group’s financiers and business partners––like PepsiCo––are complicit in the illegal deforestation, as they continue to do business with Salim without issue; Major banks, including Citibank and Rabobank, are connected to the illegal deforestation through their financing of the Salim Group, despite having policies against it;“Billions of dollars in corporate loans, and finance from bonds and shares, have all flowed to the Salim Group companies despite Mr Salim’s connection to ongoing illegal deforestation,” said Vemund Olsen from Rainforest Foundation Norway;”  The Salim Group companies are marred by ongoing conflict;“Billions of dollars in corporate loans, and finance from bonds and shares, have all flowed to the Salim Group companies despite Mr Salim’s connection to ongoing illegal deforestation,” said Vemund Olsen from Rainforest Foundation Norway; San Francisco, CA – A new report exposes one of the largest cases in recent years of ongoing, illegal clearance of tropical rainforests in Borneo;</t>
  </si>
  <si>
    <t>New Report Uncovers One of the Largest Cases of Illegal Rainforest Clearance in Borneo for Palm Oil DevelopmentMajor international banks and brands connected to company controlled by notorious Indonesian business tycoon, knowingly clear-cutting tropical rainforests. San Francisco, CA – A new report exposes one of the largest cases in recent years of ongoing, illegal clearance of tropical rainforests in Borneo. Currently, approximately 10,000 hectares of peat forest have been cleared illegally for future palm oil plantations, despite Indonesian regulations and company commitments against further peat development and deforestation.Two palm oil plantation companies are responsible for the clearance, and both are controlled by or associated with business tycoon Mr. Anthoni Salim. Mr. Salim heads Indonesia’s largest conglomerate, The Salim Group. A broad network of companies, The Salim Group most notably includes Indofood, the joint venture partner of major snack food companies PepsiCo and Nestle, and First Pacific, the joint owner of Goodman Fielder.The Salim Group was first made aware of the ongoing deforestation in February 2016, but failed to intervene despite repeated government instructions to halt peat forest development. Instead, as the report shows, one of the subsidiary companies had the Indonesian government’s peatland moratorium map changed, even as the maps prepared by the Indonesian Peat Restoration Agency (BRG) marked most of the land bank as “peatlands prioritized for protection”.“This report provides clear evidence of shady business dealings and inaction at the highest levels of business, all while tropical rainforests continue to fall for Conflict Palm Oil,” said Gemma Tillack, Forest Policy Director with Rainforest Action Network (RAN). “Meanwhile, The Salim Group’s financiers and business partners––like PepsiCo––are complicit in the illegal deforestation, as they continue to do business with Salim without issue. PepsiCo, Nestle and Wilmar must bring their business partner into compliance with Indonesian law and sustainability norms of deforestation-free development or exit their business relationships.”  The Salim Group companies are marred by ongoing conflict. Major banks, including Citibank and Rabobank, are connected to the illegal deforestation through their financing of the Salim Group, despite having policies against it. Japanese and Indonesian banks, including Mizuho and Bank Central Asia, stand out as the top lenders most exposed due to their lack of policies prohibiting such destructive activities.“Billions of dollars in corporate loans, and finance from bonds and shares, have all flowed to the Salim Group companies despite Mr Salim’s connection to ongoing illegal deforestation,” said Vemund Olsen from Rainforest Foundation Norway. “This report exposes the failure of large banks––including those that have been repeatedly warned about the Group’s environmental, social and governance risks––to address their role in facilitating carbon-intensive peat destruction. Banks need to step up their commitments to climate change and stop bankrolling peat destruction.”The report shows how the business dealings of Mr. Salim have come into question. The business empire is split into publicly listed companies controlled by The Salim Group that have declared, although failed to uphold, commitments to transparency and sustainability, and Salim-related shadow companies––or “business-on-the-side” companies as they are known in Indonesia––that continue to clear tropical forests and drain protected peatlands.“This isn’t the first time that companies in the Salim Group have been exposed for destructive practices,” said Kiki Taufik, head of Greenpeace’s Indonesian forests campaign. “The Salim Group is one of the worst offenders and has gone out of its way to keep its destructive operations separate from the public face of the Indofood empire. That’s why companies need to take responsibility for ensuring that they only use palm oil from responsible producers that protect rainforests and respect human rights.”Peat forests are particularly protected by Indonesian legal regulation because of its high fire risk––it is almost impossible to put out once on fire––and its importance in global climate regulation. Peatlands are critical carbon sinks, safely storing greenhouse gases out of the atmosphere. Each hectare of tropical peat drained for plantation development emits an average of 55 metric tons of CO2 every year, roughly equivalent to burning more than 6,000 gallons of gasoline. The 10,000 ha of peatland clearance is equivalent to 550,000 metric tons of CO2 emissions every year. For comparison, the average passenger vehicle emits about 5 metric tons of CO2 each year.“Consumers around the world are demanding deforestation-free products, and are calling for urgent action from banks and brands,” said Fatah Sadaoui with SumOfUs. “We can not stand by and watch the continued deforestation and growing climate chaos caused by banks’ investments or brands demand for Conflict Palm Oil.”</t>
  </si>
  <si>
    <t>0.495959</t>
  </si>
  <si>
    <t>0.409443</t>
  </si>
  <si>
    <t>0.456927</t>
  </si>
  <si>
    <t>0.43366</t>
  </si>
  <si>
    <t>Pepsi</t>
  </si>
  <si>
    <t>Indonesian palm oil vilain IndoFood;Pepsi’s palm oil policy;Pepsi’s palm oil policy;legacy of the illegal rainforest destruction;petition;petition;petition;worker abuse;palm oil destruction;ongoing human rights abuses;palm oil vilain IndoFood;palm oil vilain IndoFood;</t>
  </si>
  <si>
    <t>The big issue clouding Nooyi’s legacy? Pepsi’s business partnership with Indonesian palm oil vilain IndoFood -- guilty of destroying rainforests and ongoing human rights abuses on its plantations;Sign the petition telling Pepsi’s departing CEO Indra Nooyi to cut ties with IndoFood and fix Pepsi’s palm oil policy for good;Sign the petition telling Pepsi’s departing CEO’s Indra Nooyi to cut ties with palm oil vilain IndoFood and fix Pepsi’s palm oil policy for good; Now its CEO of 12 years, Indra Nooyi, is stepping down -- and it’s our chance to push her to do the right thing and clear her legacy of the illegal rainforest destruction and worker abuse happening on palm oil plantations;Sign the petition telling Pepsi’s departing CEO Indra Nooyi to cut ties with IndoFood and fix Pepsi’s palm oil policy for good;Sign the petition telling Pepsi’s departing CEO’s Indra Nooyi to cut ties with palm oil vilain IndoFood and fix Pepsi’s palm oil policy for good; Can you sign the petition to push Indra Nooyi to make her final act count for the planet and the people?; Now its CEO of 12 years, Indra Nooyi, is stepping down -- and it’s our chance to push her to do the right thing and clear her legacy of the illegal rainforest destruction and worker abuse happening on palm oil plantations; Pepsi profits from palm oil destruction through its Joint Venture Partnership with IndoFood;The big issue clouding Nooyi’s legacy? Pepsi’s business partnership with Indonesian palm oil vilain IndoFood -- guilty of destroying rainforests and ongoing human rights abuses on its plantations;The big issue clouding Nooyi’s legacy? Pepsi’s business partnership with Indonesian palm oil vilain IndoFood -- guilty of destroying rainforests and ongoing human rights abuses on its plantations;Sign the petition telling Pepsi’s departing CEO’s Indra Nooyi to cut ties with palm oil vilain IndoFood and fix Pepsi’s palm oil policy for good;</t>
  </si>
  <si>
    <t>Pepsi’s palm-oil record is ugly. Now its CEO of 12 years, Indra Nooyi, is stepping down -- and it’s our chance to push her to do the right thing and clear her legacy of the illegal rainforest destruction and worker abuse happening on palm oil plantations.The CEO wants to be remembered for the good work she’s done and with your help, we can point her in the right direction. It’s actually pretty simple, all that she needs to do is deliver on Pepsi’s outstanding palm oil promises before she steps down on October 3rd.The big issue clouding Nooyi’s legacy? Pepsi’s business partnership with Indonesian palm oil vilain IndoFood -- guilty of destroying rainforests and ongoing human rights abuses on its plantations.Sign the petition telling Pepsi’s departing CEO Indra Nooyi to cut ties with IndoFood and fix Pepsi’s palm oil policy for good.Pepsi’s business partner IndoFood is one of the industry’s worst offenders. Multiple investigations have exposed a culture of disregard for environmental laws, and a feudal attitude towards its workers.Under Nooyi’s leadership, Pepsi has tried to fool us with warm words about its palm oil commitments and the loopholes allowing Indofood to act like a bully.The cold fact is, CEO Indra Nooyi has been trying to pass the buck on the issue for years. Pepsi profits from palm oil destruction through its Joint Venture Partnership with IndoFood. But Indra Nooyi knows her last few weeks as CEO are crucial. She won’t want her name to be mired in a huge public campaign and media storm about palm oil scandals, while her critics and business leaders are writing up articles about her legacy.Sign the petition telling Pepsi’s departing CEO’s Indra Nooyi to cut ties with palm oil vilain IndoFood and fix Pepsi’s palm oil policy for good.Palm oil destruction is wreaking havoc in Southeast Asia. The Indonesian island of Borneo loses an area of forest the size of a football pitch EVERY 47 seconds. And as forests are cleared for palm oil, endangered species like orangutans and pygmy elephants lose their habitat and die.In the last 16 years, half of Borneo’s orangutan population was wiped out.SumOfUs members have shamed palm-oil guzzling brands into action before. Last year, over 200,000 of us signed a petition telling Nestle to drop their Guatemalan palm oil supplier REPSA, after it was found guilty of ecocide, causing massive fish and wildlife die-offs -- and we won!Together, we can push Indra Nooyi to come good on her promises, and leave a legacy to be proud of at Pepsi. Can you sign the petition to push Indra Nooyi to make her final act count for the planet and the people?</t>
  </si>
  <si>
    <t>0.586509</t>
  </si>
  <si>
    <t>0.214362</t>
  </si>
  <si>
    <t>0.555244</t>
  </si>
  <si>
    <t>0.522486</t>
  </si>
  <si>
    <t>Greenpeace</t>
  </si>
  <si>
    <t>major palm oil producers;palm oil;palm oil;palm oil;palm oil;massive destruction of the Sumatra tiger habitat;destruction;destruction;destruction;destruction;deforestation;deforestation;</t>
  </si>
  <si>
    <t xml:space="preserve"> The report also reveals how twenty-five major palm oil producers are responsible not only for deforestation, the illegal expansion of its plantations and fires, but also of exploitation of workers; The report also reveals how twenty-five major palm oil producers are responsible not only for deforestation, the illegal expansion of its plantations and fires, but also of exploitation of workers; Colgate-Palmolive, General Mills, Hershey, Kellogg's, Kraft Heinz, L' Oreal, Mars, Mondelez, Nestlé, Nestlé, PepsiCo, PepsiCo, Reckitt Benckiser and Unilever have purchased palm oil from at least 20 of these producers; The refinery, located on the Indonesian island of Sulawesi, works on the palm oil of three of the producers mentioned in the report "Final Countdown" because they are guilty of the destruction of the rainforests on the Indonesian islands of Kalimantan and Papua; Despite this, the destruction of the Indonesian rainforests, due to the expansion of palm oil plantations from oil, has shown no signs of slowing down; In 2013, Greenpeace International revealed that Wilmar-giant business agro-giant and its suppliers were responsible for deforestation, fires in the torpedoes and massive destruction of the Sumatra tiger habitat;L'announcement of the Indonesian government came the day after the launch of the Greenpeace report "Final countdown," which reports the destruction of 130,000 hectares of rainforest since 2015, 40% of them in Papua, one of the richest regions of biodiversity in the planet; In 2013, Greenpeace International revealed that Wilmar-giant business agro-giant and its suppliers were responsible for deforestation, fires in the torpedoes and massive destruction of the Sumatra tiger habitat; The refinery, located on the Indonesian island of Sulawesi, works on the palm oil of three of the producers mentioned in the report "Final Countdown" because they are guilty of the destruction of the rainforests on the Indonesian islands of Kalimantan and Papua; Despite this, the destruction of the Indonesian rainforests, due to the expansion of palm oil plantations from oil, has shown no signs of slowing down; The report also reveals how twenty-five major palm oil producers are responsible not only for deforestation, the illegal expansion of its plantations and fires, but also of exploitation of workers; In 2013, Greenpeace International revealed that Wilmar-giant business agro-giant and its suppliers were responsible for deforestation, fires in the torpedoes and massive destruction of the Sumatra tiger habitat;</t>
  </si>
  <si>
    <t>Last September 20, Indonesian President Joko Widodo announced the decision to suspend for three years the granting of new land to be used in the cultivation of oil palms. The moratorium only applies to the land audited by the Indonesian Ministry of Forests and does not care about those controlled by the regional government or forest areas that are part of existing concessions, leaving without protection millions of hectares of forest and torbiere.L'announcement of the Indonesian government came the day after the launch of the Greenpeace report "Final countdown," which reports the destruction of 130,000 hectares of rainforest since 2015, 40% of them in Papua, one of the richest regions of biodiversity in the planet. The report also reveals how twenty-five major palm oil producers are responsible not only for deforestation, the illegal expansion of its plantations and fires, but also of exploitation of workers. Colgate-Palmolive, General Mills, Hershey, Kellogg's, Kraft Heinz, L' Oreal, Mars, Mondelez, Nestlé, Nestlé, PepsiCo, PepsiCo, Reckitt Benckiser and Unilever have purchased palm oil from at least 20 of these producers. In 2013, Greenpeace International revealed that Wilmar-giant business agro-giant and its suppliers were responsible for deforestation, fires in the torpedoes and massive destruction of the Sumatra tiger habitat. At the end of that year, the multinational had announced an ambitious policy of "no-deforestation, no-destruction of torpedo and no-exploitation of workers." But, as it reads in the new report, Wilmar continues to buy palm oil from at least 18 suppliers destroying forests and expropriating land to local communities. To protest this inconsistency, on September 25, 2018, thirty Greenpeace activists blocked a tanker carrying palm oil and occupied a refinery owned by Wilmar. The refinery, located on the Indonesian island of Sulawesi, works on the palm oil of three of the producers mentioned in the report "Final Countdown" because they are guilty of the destruction of the rainforests on the Indonesian islands of Kalimantan and Papua. On these islands there are species at risk of extinction, such as orangutans and birds of paradise. Unfortunately, Wilmar is not the exception. Between 2010 and 2015, the main suppliers of palm oil and numerous multinationals using this raw material undertook to eliminate from their supply chain the deforestation, the destruction of peat bins and the violation of workers ' rights and local communities. All by 2020. Despite this, the destruction of the Indonesian rainforests, due to the expansion of palm oil plantations from oil, has shown no signs of slowing down. For these reasons we again ask companies to respect and enforce their suppliers by 2020 to stop the destruction of Indonesian forests before it is too late. You can't wait any longer.</t>
  </si>
  <si>
    <t>0.492782</t>
  </si>
  <si>
    <t>0.102585</t>
  </si>
  <si>
    <t>0.524438</t>
  </si>
  <si>
    <t>0.163677</t>
  </si>
  <si>
    <t>RSPO's Complaints Panel meeting;palm oil;Nestlé’s business partner;Indonesia’s richest man;huge SumOfUs petition;RSPO’s guidelines;petition;petition;worker abuse;Pepsi's business partner;Indofood’s gross violations;</t>
  </si>
  <si>
    <t>Update: The RSPO's Complaints Panel meeting is just days away - where they can decide to suspend Indofood; Last year a huge SumOfUs petition shone light on another one of Nestlé’s dodgy palm oil partners -- REPSA in Guatemala; Sign the petition to demand the RSPO suspends Nestlé’s business partner Indofood;Owned by Indonesia’s richest man, Indofood has been exposed in multiple investigations for exploiting workers, paying poverty wages (and female workers even less), dangerous working conditions, and intimidating communities off their land for illegal deforestation; Last year a huge SumOfUs petition shone light on another one of Nestlé’s dodgy palm oil partners -- REPSA in Guatemala; It also ignores the RSPO’s guidelines on protecting precious orangutan habitat and is guilty of logging on carbon-rich peat land, intensifying climate chaos; Sign the petition to demand the RSPO suspends Nestlé’s business partner Indofood; There’s very little time before Nestlé’s and Pepsi's business partner gets its verdict, so please sign the petition now; The Indonesian giant has got away with rainforest destruction and worker abuse for too long; There’s very little time before Nestlé’s and Pepsi's business partner gets its verdict, so please sign the petition now; Together, we can expose the RSPO’s greenwashing and put its reputation at risk so it doesn’t stick to business as usual and overlook Indofood’s gross violations;</t>
  </si>
  <si>
    <t xml:space="preserve">Update: The RSPO's Complaints Panel meeting is just days away - where they can decide to suspend Indofood. Sign the petition to urge them into action!Nestlé and Pepsi's palm oil business partner Indofood is the worst of the worst when it comes to producing palm oil. The Indonesian giant has got away with rainforest destruction and worker abuse for too long.  This impunity could end soon! The palm oil industry’s main certification body, the Roundtable on Sustainable Palm Oil (RSPO) could finally kick the rogue company off its certification scheme when it meets next week, so we need to act fast.This decision will be a crucial step in getting Nestlé and Pepsi to finally cut deforestation and abuse out of their supply chains. Together, we can expose the RSPO’s greenwashing and put its reputation at risk so it doesn’t stick to business as usual and overlook Indofood’s gross violations. Sign the petition to demand the RSPO suspends Nestlé’s business partner Indofood.Owned by Indonesia’s richest man, Indofood has been exposed in multiple investigations for exploiting workers, paying poverty wages (and female workers even less), dangerous working conditions, and intimidating communities off their land for illegal deforestation. It also ignores the RSPO’s guidelines on protecting precious orangutan habitat and is guilty of logging on carbon-rich peat land, intensifying climate chaos. Nestlé and Pepsi are in on this game. The snack food giants co-brand products in the South Asian market, and profit from lucrative Joint Venture Partnerships with Indofood -- cheating on their palm oil commitments. Getting the industry’s main certification scheme to suspend Indofood could force Nestlé and Pepsi to take strong action against Indofood, or risk public backlash. A suspension would give us even more evidence to call for Nestlé and Pepsi to permanently cut ties with Indofood. There’s very little time before Nestlé’s and Pepsi's business partner gets its verdict, so please sign the petition now.Together, we’ve forced some of the palm oil industry’s biggest players to change their destructive ways before. Last year a huge SumOfUs petition shone light on another one of Nestlé’s dodgy palm oil partners -- REPSA in Guatemala. The exposure and media fall-out forced Nestlé to cut ties with the Guatemalan palm oil offender! The RSPO often fails to enforce its own standards, but if we pile on the pressure it could be forced to sanction Indofood. Recently, the RSPO froze Nestlé’s membership for several weeks when it failed to comply with its rules. The suspension was a blow to Nestlé’s public image, and zoos and retailers around the world refused to stock its products for the period. That’s why we want to send a strong message to the industry by getting Indofood suspended for good. </t>
  </si>
  <si>
    <t>0.594092</t>
  </si>
  <si>
    <t>0.140095</t>
  </si>
  <si>
    <t>0.525128</t>
  </si>
  <si>
    <t>0.504788</t>
  </si>
  <si>
    <t>Colgate-Palmolive</t>
  </si>
  <si>
    <t>palm oil industry;palm oil;palm oil;deforestation;destruction of the forests;destruction of the forests;destruction of the jungle;big traditional oil brands of palm oil;destruction of the forests of Indonesia;</t>
  </si>
  <si>
    <t>The palm oil industry is primarily responsible for the destruction of the forests in Indonesia;The palm oil industry is primarily responsible for the destruction of the forests in Indonesia; And the big traditional oil brands of palm oil have been stocked from these producers who are deforesting: Colgate-Palmolive, General Mills, Hershey, Kellogg's, Kraft Heinz, L' Oreal, Mars, Mondelez (Oreo), Nestle, PepsiCo, Reckitt Benckiser and Unilever; If their deforestation continues, the survival of orangutans will be impossible;The palm oil industry is primarily responsible for the destruction of the forests in Indonesia; It calls on these companies not to send their marks with the destruction of the forests of Indonesia; Unilever, Nestle, Colgate-Palmolive and Mondelez have to stop funding the destruction of the jungle to produce food and other daily consumer products; And the big traditional oil brands of palm oil have been stocked from these producers who are deforesting: Colgate-Palmolive, General Mills, Hershey, Kellogg's, Kraft Heinz, L' Oreal, Mars, Mondelez (Oreo), Nestle, PepsiCo, Reckitt Benckiser and Unilever; It calls on these companies not to send their marks with the destruction of the forests of Indonesia;</t>
  </si>
  <si>
    <t>The palm oil industry is primarily responsible for the destruction of the forests in Indonesia. If their deforestation continues, the survival of orangutans will be impossible. A few years ago, the world's largest consumer companies announced that they would only provide palm oil free of deforestation. Despite these pledges, a Greenpeace research has found that 25 palm oil producers have deforested more than 130,000 hectares of tropical forest since the end of 2015. And the big traditional oil brands of palm oil have been stocked from these producers who are deforesting: Colgate-Palmolive, General Mills, Hershey, Kellogg's, Kraft Heinz, L' Oreal, Mars, Mondelez (Oreo), Nestle, PepsiCo, Reckitt Benckiser and Unilever.The countdown has begun. The palm oil industry and the big oil-consuming brands have little time to fulfill their promise to clean up their supply chains by 2020. Unilever, Nestle, Colgate-Palmolive and Mondelez have to stop funding the destruction of the jungle to produce food and other daily consumer products. It calls on these companies not to send their marks with the destruction of the forests of Indonesia.</t>
  </si>
  <si>
    <t>0.562648</t>
  </si>
  <si>
    <t>0.05619</t>
  </si>
  <si>
    <t>0.452754</t>
  </si>
  <si>
    <t>0.554959</t>
  </si>
  <si>
    <t>deforestation-free supply chain;palm oil industry;big palm oil companies;deforestation;deforestation;deforestation-free;illegal forest clearing;palm oil;palm oil;</t>
  </si>
  <si>
    <t>Last month, non-government organisation (NGO) Greenpeace scaled Wilmar’s refineries in Indonesia in protest against the company’s ties to deforestation and slammed a commitment Wilmar made in October to have a deforestation-free supply chain by 2020, saying the pledge did not go far enough to ensure its suppliers would comply; But Greenpeace said Wilmar’s new commitment is a “potential breakthrough” for the palm oil industry, as the use of satellites will make it impossible for Wilmar or its suppliers to get away with forest clearing undetected; Greenpeace said that Wilmar’s commitment puts pressure on the rest of the sector, including other big palm oil companies such as Golden Agri Resources and Musim Mas, which it says continue to source oil from suppliers linked to deforestation;Last month, non-government organisation (NGO) Greenpeace scaled Wilmar’s refineries in Indonesia in protest against the company’s ties to deforestation and slammed a commitment Wilmar made in October to have a deforestation-free supply chain by 2020, saying the pledge did not go far enough to ensure its suppliers would comply; Greenpeace said that Wilmar’s commitment puts pressure on the rest of the sector, including other big palm oil companies such as Golden Agri Resources and Musim Mas, which it says continue to source oil from suppliers linked to deforestation;Last month, non-government organisation (NGO) Greenpeace scaled Wilmar’s refineries in Indonesia in protest against the company’s ties to deforestation and slammed a commitment Wilmar made in October to have a deforestation-free supply chain by 2020, saying the pledge did not go far enough to ensure its suppliers would comply; But the company has been continually linked to illegal forest clearing through its suppliers; But Greenpeace said Wilmar’s new commitment is a “potential breakthrough” for the palm oil industry, as the use of satellites will make it impossible for Wilmar or its suppliers to get away with forest clearing undetected; Greenpeace said that Wilmar’s commitment puts pressure on the rest of the sector, including other big palm oil companies such as Golden Agri Resources and Musim Mas, which it says continue to source oil from suppliers linked to deforestation;</t>
  </si>
  <si>
    <t>The world’s largest palm oil trader, Singapore-headquartered Wilmar International, has hatched a new plan to eliminate deforestation from its supply chain following sustained pressure from green groups.Wilmar is to map and monitor its suppliers using satellites, giving a clear picture of their activities on the ground for the first time. If suppliers are found to be clearing forest, they’ll be immediately dropped from Wilmar’s supply chain, the company pledged in a statement released this week.FOOD &amp; AGRICULTUREWilmar aims for deforestation-free supply chain by 2020 after protests Read nowThe firm has also said it would engage with suppliers found to be clearing forests to avoid creating a “leakage market” of farmers who continue to deforest after suspension.Wilmar supplies palm oil—the world’s most widely consumed edible oil—to all of the big consumer goods companies that promised to be deforestation-free by 2020 in a landmark commitment made almost a decade ago.It was the first palm oil company to commit to stop clearing forests in 2013, and bolstered its sustainability policy two years ago. But the company has been continually linked to illegal forest clearing through its suppliers.Last month, non-government organisation (NGO) Greenpeace scaled Wilmar’s refineries in Indonesia in protest against the company’s ties to deforestation and slammed a commitment Wilmar made in October to have a deforestation-free supply chain by 2020, saying the pledge did not go far enough to ensure its suppliers would comply. But Greenpeace said Wilmar’s new commitment is a “potential breakthrough” for the palm oil industry, as the use of satellites will make it impossible for Wilmar or its suppliers to get away with forest clearing undetected.The NGO said it would monitor Wilmar’s progress, and suspend its publicity campaign against the company to give it space to implement the plan. Greenpeace said that Wilmar’s commitment puts pressure on the rest of the sector, including other big palm oil companies such as Golden Agri Resources and Musim Mas, which it says continue to source oil from suppliers linked to deforestation.The news emerges a week after Norway became the first country to introduce a ban on palm oil.We encourage Norway to avoid being blinded by emotion and instead to conduct objective analyses, so that their good intention to fix this problem does not get displaced, and in turn, cause bigger problems elsewhere.Darrel Webber, chief executive, Roundtable on Sustainable Palm OilThe move, designed to sever the country’s links to tropical deforestation, will mean the Northern European country will no longer source palm oil for use in biofuels by 2020.The move was praised by some environmentalists who hope other countries will follow suit to apply more pressure on the palm oil trade to shift to sustainable practices.“The Norwegian parliament’s decision sets an important example to other countries and underlines the need for a serious reform of the world’s palm oil industry,” said Nils Hermann Ranum of green group Rainforest Foundation Norway. The palm oil industry’s largest sustainable certification body has responded by arguing that Norway’s ban could cause unintended consequences, pushing deforestation elsewhere. Darrel Webber, chief executive of the Roundtable on Sustainable Palm Oil (RSPO), told Eco-Business: “We believe that moves such as this stem from good intentions. However, we encourage Norway to avoid being blinded by emotion and instead to conduct objective analyses, so that their good intention to fix this problem does not get displaced, and in turn, cause bigger problems elsewhere.”Webber added that RSPO is working with members to halt deforestation and improve practices, and a “concerted global effort” was needed to root deforestation out of the industry.</t>
  </si>
  <si>
    <t>0.569779</t>
  </si>
  <si>
    <t>0.084169</t>
  </si>
  <si>
    <t>0.17324</t>
  </si>
  <si>
    <t>0.592068</t>
  </si>
  <si>
    <t>Wilmar’s country head;dirty work;executives of palm oil trader Wilmar International;Wilmar’s dirty secret;Wilmar’s NDPE policy;human rights violations;deforestation;deforestation;deforestation;</t>
  </si>
  <si>
    <t xml:space="preserve"> The co-founder of the world’s largest palm oil trading company Wilmar International, Martua Sitorus, and Hendri Saksti, Wilmar’s country head for Indonesia, have resigned; “For years, Wilmar and Gama have worked together, with Gama doing the dirty work so Wilmar’s hands stay clean;Two executives of palm oil trader Wilmar International have stepped down after a report by Greenpeace revealed that the company is still linked to deforestation;“Our investigation has exposed Wilmar’s dirty secret,” said Kiki Taufik, the global head of Greenpeace Southeast Asia’s Indonesian forests campaign; Furthermore, analysis of trade data revealed that Wilmar continued to trade palm oil from Gama despite the knowledge that the supplier had been violating Wilmar’s NDPE policy, Greenpeace said in its press release;In its press release, Greenpeace claims that Wilmar had sold off its most controversial plantations to Gama in recent years in order to evade responsibility for environmental degradation and human rights violations;Two executives of palm oil trader Wilmar International have stepped down after a report by Greenpeace revealed that the company is still linked to deforestation; Wilmar reaffirms its no deforestation commitments, a spokesperson said;They also emphasised that three plantation companies that Greenpeace reported were linked to deforestation – PT Graha Agro Nusantara, PT Agrinusa Persada Mulia and PT Agriprima Cipta Persada – are not part of Wilmar’s supply chain;</t>
  </si>
  <si>
    <t>Two executives of palm oil trader Wilmar International have stepped down after a report by Greenpeace revealed that the company is still linked to deforestation. Wilmar reaffirms its no deforestation commitments, a spokesperson said. The co-founder of the world’s largest palm oil trading company Wilmar International, Martua Sitorus, and Hendri Saksti, Wilmar’s country head for Indonesia, have resigned.The decision was announced on Tuesday, about a week after non-governmental environmental organisation Greenpeace issued a report that exposed Sitorus’ links to Gama Plantation, a palm oil business that Greenpeace accused of destroying rainforest twice the size of Paris in Papua, Indonesia. Set up by Sitorus and his brother Ganda in 2011, Gama is managed by senior Wilmar executives and members of Sitorus’ family, including Hendri Saksti, according to Greenpeace International’s press release on 25 June.The allegations come almost five years after the agribusiness giant committed its entire operations worldwide, including subsidiaries and third-party suppliers, to an ambitious ‘no deforestation, no peat, no exploitation’ (NDPE) policy, responding to increasing pressure from environmental organisations such as Greenpeace International and The Forest Trust.An effort to clean up its supply chain, the NDPE policy was just one among several industry-first sustainability-linked initiatives Wilmar launched in recent years, many of which were much welcomed by environmental groups.In 2015, the company was the first in the sector to disclose the names and locations of its suppliers in its palm oil supply chain in Malaysia and Indonesia in an attempt to raise transparency levels and tackle deforestation.Last year, Wilmar announced a new policy to protect and provide education to children on its oil palm plantations. Only weeks later, it launched a sustainable finance deal with multinational banking and financial services corporation ING, being the first company in Asia to tie its financial obligations to sustainability-linked performance targets.In its press release, Greenpeace claims that Wilmar had sold off its most controversial plantations to Gama in recent years in order to evade responsibility for environmental degradation and human rights violations. Furthermore, analysis of trade data revealed that Wilmar continued to trade palm oil from Gama despite the knowledge that the supplier had been violating Wilmar’s NDPE policy, Greenpeace said in its press release.“Our investigation has exposed Wilmar’s dirty secret,” said Kiki Taufik, the global head of Greenpeace Southeast Asia’s Indonesian forests campaign. “For years, Wilmar and Gama have worked together, with Gama doing the dirty work so Wilmar’s hands stay clean.”“[The resignations] show that Wilmar is determined to blame someone else for its failings. This is not just about Gama or Martua Sitorus; it’s about Wilmar’s refusal to do what it takes to keep forest destroyers out of its supply chain,” Taufik said in the release, calling on Wilmar to demand its palm oil suppliers to publish concession maps in order to ensure their supply chain is clean and transparent.Responding to queries by Eco-Business, a Wilmar spokesperson said: “We reaffirm our commitment to our NDPE Policy which was the first to be launched in 2013. Every case of non-compliance is reviewed and monitored closely.” “Wilmar has, as of 20 June 2018, ceased sourcing from all suppliers allegedly associated with Gama as identified by Greenpeace, until they can prove to our satisfaction that they do not belong to Gama,” according to the spokesperson.They also emphasised that three plantation companies that Greenpeace reported were linked to deforestation – PT Graha Agro Nusantara, PT Agrinusa Persada Mulia and PT Agriprima Cipta Persada – are not part of Wilmar’s supply chain.Addressing the resignations, the spokesperson explained that Martua Sitorus and Hendri Saksti had already intended to step down in 2017, but were asked to retain their positions to ensure a smooth transition, adding: “In order to put to rest allegations of conflict of interest between Wilmar and Gama, Mr Sitorus and Mr Saksti have decided to bring forward their resignations [earlier].”Following the resignations, Kuok Khoon Hong, Chairman and CEO of Wilmar, had personally written to Greenpeace on 4 July, addressing concerns over the company’s sustainable supply chain efforts and detailing its next course of action in strengthening the implementation of its NDPE Policy, shared the spokesperson.“These [actions] include releasing publicly concession maps of suppliers that are in our grievance process, work with our stakeholders towards the protection and rehabilitation of remaining forests in concession areas and to have a more robust framework for verifying NDPE compliance at refinery level by the end of 2018,” they said.</t>
  </si>
  <si>
    <t>0.607338</t>
  </si>
  <si>
    <t>0.487</t>
  </si>
  <si>
    <t>0.544119</t>
  </si>
  <si>
    <t>0.521082</t>
  </si>
  <si>
    <t>0.202401</t>
  </si>
  <si>
    <t>clearing forests;clearing forests;human rights abuses;global palm oil trade;deforestation;deforestation;deforestation;deforestation;deforestation;</t>
  </si>
  <si>
    <t>However, campaigners and industry experts say the company is yet to prove that its suppliers are not responsible for clearing forests or abusing human rights; But no company is providing comprehensive information about whether [its suppliers] are clearing forests or abusing human rights – the metrics that really matter;Hurowitz adds that Wilmar and other companies need to be absolutely clear to their suppliers that if they engage in deforestation or human rights abuses, they will lose access to global markets;The key sticking point according to NGOs such as Greenpeace and the Forest Peoples Programme is that Wilmar, which controls 45% of global palm oil trade, cannot prove that its suppliers are not responsible for ongoing deforestation;Singapore-headquartered Wilmar says it has made “significant progress” on a commitment it made two years ago to eliminate deforestation, exploitation and peatland development from its supply chain;” Even Wilmar’s chief sustainability officer Jeremy Goon points out that “much remains to be done, including the development of a clear means to measure and track the progress of sustainability commitments to assess its effectiveness in reducing actual deforestation”;The key sticking point according to NGOs such as Greenpeace and the Forest Peoples Programme is that Wilmar, which controls 45% of global palm oil trade, cannot prove that its suppliers are not responsible for ongoing deforestation;Hurowitz adds that Wilmar and other companies need to be absolutely clear to their suppliers that if they engage in deforestation or human rights abuses, they will lose access to global markets;So what will help end the ongoing land grab claims and forest fires that engulfed south-east Asia towards the end of last year? Hurowitz believes that governments must step up and take deforestation seriously, although this doesn’t give companies carte blanche to carry on business as usual;</t>
  </si>
  <si>
    <t>The world’s largest palm oil processor and trader used the Davos gathering of business leaders as an opportunity to talk up progress on its efforts to tackle deforestation in the palm oil sector.Singapore-headquartered Wilmar says it has made “significant progress” on a commitment it made two years ago to eliminate deforestation, exploitation and peatland development from its supply chain. This includes publishing a list of crude palm oil mill sources that supply its refineries, enabling greater transparency along the company’s supply chain.However, campaigners and industry experts say the company is yet to prove that its suppliers are not responsible for clearing forests or abusing human rights.Glenn Hurowitz, senior fellow at the Centre for International Policy, who wrote an introductory commentary for Wilmar’s progress report, told the Guardian that being able to measure progress is key: “Among the large agribusiness companies, Wilmar is leading the way in many areas, from supplier engagement to transparency to rapidly responding to grievances filed by civil society ... But no company is providing comprehensive information about whether [its suppliers] are clearing forests or abusing human rights – the metrics that really matter.” Even Wilmar’s chief sustainability officer Jeremy Goon points out that “much remains to be done, including the development of a clear means to measure and track the progress of sustainability commitments to assess its effectiveness in reducing actual deforestation”.The key sticking point according to NGOs such as Greenpeace and the Forest Peoples Programme is that Wilmar, which controls 45% of global palm oil trade, cannot prove that its suppliers are not responsible for ongoing deforestation. The palm oil supply chain is notoriously complex and lacking in transparency, but Greenpeace Indonesia campaigner Annisa Rahmawati believes the company should be making better progress on its commitments.“Wilmar promised that by the end of 2015 it would be able to show its palm oil suppliers were not destroying forests, developing on peatlands and were respecting human rights of communities and workers. This was the cornerstone of its policy, but now the company talks only of ‘aspirations’. That is simply not good enough,” says Rahmawati.Continued external pressureWilmar’s 2013 commitment was a bold move but it didn’t happen without considerable pressure from what environment author and journalist Fred Pearce describes as “strenuous NGO campaigns” and an announcement by Unilever – one of Wilmar’s customers and the world’s largest purchaser of palm oil in 2012 – that it would be tracking its entire supply chain to ensure it met its promise to end its role in deforestation.It’s this same pressure that environmental non-profit CDP believes will help companies realise their no deforestation pledges. In its latest report CDP points out that suppliers and buyers of key agricultural forest-risk commodities, including palm oil and soy, are coming under growing pressure to ensure their supply chains do not destroy forests. “That pressure is building from their consumers and their investors,” says CDP. In 2015, 298 investors with $19tn (£13.3tn) in assets under management requested that companies report data about forest risks through CDP, a 24% jump from the previous year.Hurowitz adds that Wilmar and other companies need to be absolutely clear to their suppliers that if they engage in deforestation or human rights abuses, they will lose access to global markets. “There’s been altogether too much ambiguity about consequences, which has only encouraged some rogue actors to think they can deforest first and apologise later,” he says.So what will help end the ongoing land grab claims and forest fires that engulfed south-east Asia towards the end of last year? Hurowitz believes that governments must step up and take deforestation seriously, although this doesn’t give companies carte blanche to carry on business as usual.“For the sake of their own commercial interests, the leading companies need to do more to make clear to governments that effective law enforcement is essential if the palm oil industry is to restore its damaged reputation. To accelerate progress and prevent another haze crisis, companies should join with civil society to support government efforts to hold anyone who destroys forests and peatlands legally accountable.”</t>
  </si>
  <si>
    <t>0.36281</t>
  </si>
  <si>
    <t>0.479916</t>
  </si>
  <si>
    <t>0.083342</t>
  </si>
  <si>
    <t>0.123406</t>
  </si>
  <si>
    <t>0.583647</t>
  </si>
  <si>
    <t>0.31130150000000006</t>
  </si>
  <si>
    <t>human rights abuses;human rights abuses;palm oil;Wilmar's operations;long standing conflicts;environmental destruction;formal complaints;</t>
  </si>
  <si>
    <t>In December 2013, following pressure from its customers and investors, the palm oil giant Wilmar committed to delinking its entire supply chain, including joint ventures and third-party suppliers, from deforestation, peatland development, and human rights abuses;  The commitment, to be fully implemented by December 2015, was welcomed by groups who had tracked and criticised Wilmar for its environmental destruction and human rights abuses;In December 2013, following pressure from its customers and investors, the palm oil giant Wilmar committed to delinking its entire supply chain, including joint ventures and third-party suppliers, from deforestation, peatland development, and human rights abuses;In 2007, FPP assisted two communities in West Kalimantan to make formal complaints to the RSPO and to the International Finance Corporation about Wilmar's operations affecting their customary lands; Two years on however, despite its promises, Wilmar has failed to resolve many long standing conflicts between its operations and impacted communities;  The commitment, to be fully implemented by December 2015, was welcomed by groups who had tracked and criticised Wilmar for its environmental destruction and human rights abuses;In 2007, FPP assisted two communities in West Kalimantan to make formal complaints to the RSPO and to the International Finance Corporation about Wilmar's operations affecting their customary lands;</t>
  </si>
  <si>
    <t>In December 2013, following pressure from its customers and investors, the palm oil giant Wilmar committed to delinking its entire supply chain, including joint ventures and third-party suppliers, from deforestation, peatland development, and human rights abuses.  The commitment, to be fully implemented by December 2015, was welcomed by groups who had tracked and criticised Wilmar for its environmental destruction and human rights abuses. Two years on however, despite its promises, Wilmar has failed to resolve many long standing conflicts between its operations and impacted communities. The following material looks at a couple of cases where Wilmar has failed to resolve its conflicts with communities.In 2007, FPP assisted two communities in West Kalimantan to make formal complaints to the RSPO and to the International Finance Corporation about Wilmar's operations affecting their customary lands. Wilmar had been a member of the RSPO since 2005 and had received financial support from the IFC, the private finance arm of the World Bank, since 2004. The RSPO upheld the complaint that Wilmar had taken over lands of the communities of Senuju and Sajingan Kecil without their consent, and the IFC confirmed this decision and provided mediation support to resolve the dispute. In 2008, the communities reached agreement with Wilmar over the impacts of its operations, and the World Bank suspended further investments in the palm oil sector pending a review and policy development to avoid its financing causing negative social and environmental impacts. FPP welcomed the agreement between Wilmar and the West Kalimantan communities, but in 2014 FPP found that Wilmar had not honoured its commitments and the communities were left with unpayable debts.In 2006, FPP documented the problems that Wilmar subsidiary, PT PHP1 had caused for the Kapa community of Pasaman Barat in West Sumatra. Ten years, later the problems for the Kapa community caused by Wilmar have intensified, with the company obtaining a plantation license (HGU) without their consent, while the leaders of the community that have complained to the RSPO and government authorities have been criminalized.In January 2016, FPP staff and NGO partners visited the Kapa community and met first hand with community leaders to learn about their ongoing struggle to have their land rights recognised and respected by Wilmar.  Following the visit, FPP put out the Maninjau resolution, highlighting Wilmar's failure to respect the rights of the Kapa community and resolve conflicts with communities in good faith. The resolution called for, "real sustainable development - development with justice - and for an end to colonial models of land development, which require native peoples’ to surrender their land to foreign investors."FPP will continue to highlight Wilmar's human rights abuses, and in particular, its failure to respect the land rights of customary communities, until we see changes on the ground.  A 2015 regulation from the Ministry of Agraria, creates a category for Communal land rights, making it possible for communities to have their land rights recognised and registered by the government and then allowing them to lease areas to oil palm companies. While the regulation lacks implementing instructions, it may offer a way out of the current dilemma for companies that wish to respect community rights to land but can only obtain government licenses over lands to which all residual rights in land have been removed.</t>
  </si>
  <si>
    <t>0.602526</t>
  </si>
  <si>
    <t>0.084239</t>
  </si>
  <si>
    <t>0.53153</t>
  </si>
  <si>
    <t>0.578869</t>
  </si>
  <si>
    <t>Asia Pulp &amp; Paper</t>
  </si>
  <si>
    <t>forest clearing;Forest Commodity Leader WWF-Indonesia;illegal activities;APP’s priority landscape;own forest clearing;deforestation;deforestation;</t>
  </si>
  <si>
    <t xml:space="preserve"> “APP has halted its own forest clearing and embarked on a wide array of assessments in its concessions,” said Aditya Bayunanda, Forest Commodity Leader WWF-Indonesia; “APP has halted its own forest clearing and embarked on a wide array of assessments in its concessions,” said Aditya Bayunanda, Forest Commodity Leader WWF-Indonesia;A Rainforest Alliance audit released today confirmed the findings by WWF and local NGOs that APP is failing to stop deforestation and illegal activities in its concessions by other parties, even in areas already identified by the company as containing high conservation values and carbon stocks; Even in APP’s priority landscape, Bukit Tigapuluh, the company has yet to take promised steps to provide wildlife corridors and stop illegal loggers, poachers and encroachers from accessing the forest through its logging road; “APP has halted its own forest clearing and embarked on a wide array of assessments in its concessions,” said Aditya Bayunanda, Forest Commodity Leader WWF-Indonesia;A Rainforest Alliance audit released today confirmed the findings by WWF and local NGOs that APP is failing to stop deforestation and illegal activities in its concessions by other parties, even in areas already identified by the company as containing high conservation values and carbon stocks; “APP customers should be alert to the risk of doing business with a company that has not yet eliminated deforestation and peat carbon emissions from its wood supply areas;</t>
  </si>
  <si>
    <t>Two years after Asia Pulp &amp; Paper (APP) announced a new “forest conservation” policy, APP’s pledge to halt forest clearing has held, but its forests are still disappearing.Jakarta, Indonesia – Two years after Asia Pulp &amp; Paper (APP) announced a new “forest conservation” policy, APP’s pledge to halt forest clearing has held, but its forests are still disappearing.A Rainforest Alliance audit released today confirmed the findings by WWF and local NGOs that APP is failing to stop deforestation and illegal activities in its concessions by other parties, even in areas already identified by the company as containing high conservation values and carbon stocks. “APP has halted its own forest clearing and embarked on a wide array of assessments in its concessions,” said Aditya Bayunanda, Forest Commodity Leader WWF-Indonesia. “But not much has changed on the ground - forests continue to disappear, peat soils continue to be drained and social conflicts remain unresolved. The company has even failed to protect forests they are legally required to conserve.” "No concrete plans on where forests will be restored or conserved, and with what financing"Progress is lacking on action to reduce the climate impacts of APP’s vast concessions on peat. The Rainforest Alliance audit confirmed that other than stopping new canal development APP has taken no action to reduce greenhouse gas emissions resulting from the draining of over a million hectares of peatland under company control.   WWF is also very concerned with the lack of progress by the company to resolve hundreds of social conflicts. The findings of local NGOs were confirmed in the Rainforest Alliance audit and should send high alerts through APP headquarters. WWF had welcomed APP’s 2014 announcement to restore and conserve 1 million hectares of tropical ecosystems beyond legal requirements as the right measure to address the company legacy of deforestation of an estimated 2 million hectares of tropical forest. “WWF has participated in numerous stakeholder meetings and task force activities since the announcement,” said Bayunanda. “These discussions have resulted in very little progress. There are no concrete plans on where forests will be restored or conserved, and with what financing. Even in APP’s priority landscape, Bukit Tigapuluh, the company has yet to take promised steps to provide wildlife corridors and stop illegal loggers, poachers and encroachers from accessing the forest through its logging road.”WWF commends APP for having invited Rainforest Alliance to audit its progress, and urges APP to act quickly and decisively to address the audit findings. WWF will also carefully study the audit findings and advise APP customers accordingly.“After two years of assessments and planning, APP needs to shift its focus to action. Today, APP promised change and WWF will monitor its next steps to see how serious it is about saving forests,” said Rod Taylor, Director, Forest Programme at WWF International. “APP customers should be alert to the risk of doing business with a company that has not yet eliminated deforestation and peat carbon emissions from its wood supply areas.”</t>
  </si>
  <si>
    <t>0.567362</t>
  </si>
  <si>
    <t>0.054275</t>
  </si>
  <si>
    <t>0.110426</t>
  </si>
  <si>
    <t>0.51696</t>
  </si>
  <si>
    <t>environmental impact of the products of their supermarkets;Greenpeace petition;deforestation;deforestation;deforestation;deforestation;taste deforestation of Oreo cookies;</t>
  </si>
  <si>
    <t xml:space="preserve"> Greenpeace will ensure that Wilmar scrupulously respects its commitment and will continue to inform consumers about the environmental impact of the products of their supermarkets, " explains Cécile Leuba, Greenpeace campaigner for Greenpeace France;3 million people around the world have signed the Greenpeace petition calling for an end to the deforestation of palm oil; For Greenpeace, if this plan is properly implemented, it will be an important step towards eliminating deforestation in the Wilmar supply chain;3 million people around the world have signed the Greenpeace petition calling for an end to the deforestation of palm oil; Activists also targeted the various Mondelez seats around the world to denounce the " taste deforestation of Oreo cookies, as did local Greenpeace groups in the supermarkets of 26 cities in France; Wilmar will use high resolution satellite image monitoring to check whether or not there is deforestation; Activists also targeted the various Mondelez seats around the world to denounce the " taste deforestation of Oreo cookies, as did local Greenpeace groups in the supermarkets of 26 cities in France;</t>
  </si>
  <si>
    <t>After an international campaign by Greenpeace, Wilmar International published a detailed action plan to map and monitor its suppliers of palm oil. For Greenpeace, if this plan is properly implemented, it will be an important step towards eliminating deforestation in the Wilmar supply chain. This palm oil giant concentrates 40 % of world trade in this raw material, and so these changes would have a major impact on the rest of the palm oil industry. " Wilmar supplies palm oil to most multinational food and cosmetic companies. His plan could be a real breakthrough. If Wilmar is there, by the end of 2019, he will use satellites to monitor all his palm oil suppliers, who will no longer be able to hide the deforestation they are responsible for. Greenpeace will ensure that Wilmar scrupulously respects its commitment and will continue to inform consumers about the environmental impact of the products of their supermarkets, " explains Cécile Leuba, Greenpeace campaigner for Greenpeace France.The announcement by Wilmar follows an international campaign by Greenpeace to end the deforestation of palm oil used by the food and cosmetics multinationals. More than 1.3 million people around the world have signed the Greenpeace petition calling for an end to the deforestation of palm oil. Over the past three months, Greenpeace activists have occupied a Wilmar refinery in Indonesia and twice docked a cargo ship carrying palm oil from Wilmar. Greenpeace Italy has blocked a plant in one of Wilmar's main customers, Mondelez, the maker of Oreo biscuits. Activists also targeted the various Mondelez seats around the world to denounce the " taste deforestation of Oreo cookies, as did local Greenpeace groups in the supermarkets of 26 cities in France. Greenpeace is now suspending its campaign to give Wilmar the chance to implement his plan. The Wilmar action plan commits the trader to mapping all of his suppliers' land by the end of 2019, including the concessions from which he does not supply. Wilmar will use high resolution satellite image monitoring to check whether or not there is deforestation. Wilmar's trading relationship with the producers that destroyed the forests would have to be immediately suspended. Wilmar's announcement puts the rest of the industry under pressure, including other major traders such as Golden Agri Resources and Musim Mas, who also supply themselves with forest-destroying trees. Agri-food and cosmetics multinationals such as Mondelez, Nestle and Unilever are sourcing from a large number of suppliers and therefore have a responsibility to push the palm oil industry to implement similar commitments.</t>
  </si>
  <si>
    <t>0.319246</t>
  </si>
  <si>
    <t>0.431453</t>
  </si>
  <si>
    <t>0.061801</t>
  </si>
  <si>
    <t>0.095904</t>
  </si>
  <si>
    <t>0.519242</t>
  </si>
  <si>
    <t>0.284288</t>
  </si>
  <si>
    <t>toxic palm oil company Indofood;official complaint;illegal child labour;petition;Pepsi's CEO;Indofood’s abuses;</t>
  </si>
  <si>
    <t>Tell Pepsi: Stop disappointing us and cut ALL your ties with toxic palm oil company Indofood!Indofood’s abuses were always an open secret; But in 2016, our partners at Rainforest Action Network exposed Indofood and filed an official complaint with the RSPO;“Disappointed”, Pepsi?! Indofood isn’t a misbehaving toddler -- it’s a corporation that destroys rainforests, mistreats female staff, uses illegal child labour, and exposes its workers to hazardous pesticides;Please sign the petition and help force Pepsi to terminate its business partnership with Indofood once and for all!We know our people-powered campaigning can push big brands into action;Let's tell Pepsi's CEO there’s no excuse for inaction on exploitation and rainforest destruction -- it's time to drop Indofood;Tell Pepsi: Stop disappointing us and cut ALL your ties with toxic palm oil company Indofood!Indofood’s abuses were always an open secret;</t>
  </si>
  <si>
    <t>Pepsi has nowhere to hide now: its business partner Indofood has been kicked out of the Roundtable on Sustainable Palm Oil (RSPO), the world’s largest sustainable palm oil authority, for mistreating workers on its environment-wrecking plantations.Over 100,000 SumOfUs members like you have already told PepsiCo to cut ties with this palm oil villain, but the snack food giant has resisted so far, hiding behind those RSPO certificates. Nowthough, Pepsi’s surely going to drop Indofood like a hot Cheeto… right?Wrong. Pepsi’s still cashing obscene profits from its partnership with Indofood, and reacted to the RSPO decision only with “We are very disappointed”.“Disappointed”, Pepsi?! Indofood isn’t a misbehaving toddler -- it’s a corporation that destroys rainforests, mistreats female staff, uses illegal child labour, and exposes its workers to hazardous pesticides.Tell Pepsi: Stop disappointing us and cut ALL your ties with toxic palm oil company Indofood!Indofood’s abuses were always an open secret. But in 2016, our partners at Rainforest Action Network exposed Indofood and filed an official complaint with the RSPO. Together, SumOfUs members used our collective power to drive up pressure last summer and get the RSPO to first sanction -- and now kick out entirely -- the palm oil giant.Now it’s official: Indofood’s palm oil cannot be called sustainable, even by the subpar RSPO standards. Meaning that if Pepsi’s ‘sustainable’ palm oil policy is to retain any scrap of credibility, it must end its joint venture partnership with the corporation -- NOW.Please sign the petition and help force Pepsi to terminate its business partnership with Indofood once and for all!We know our people-powered campaigning can push big brands into action. After sustained pressure from SumOfUs members, Nestlé ended its own 13-year business partnership with Indofood. Showing that if PepsiCo really wanted to, it could too.And after 150,000 SumOfUs members put pressure on Pepsi’s departing CEO, Pepsi responded and stopped sourcing palm oil from Indofood -- but failed to cut ties completely, keeping its business partnership in Indonesia.Unless we use this moment to double down on our campaign, with the threats of reputation damage, negative media coverage, and lost customers, Pepsi may hope to weather out the storm. So we need to act fast.Let's tell Pepsi's CEO there’s no excuse for inaction on exploitation and rainforest destruction -- it's time to drop Indofood.</t>
  </si>
  <si>
    <t>0.623576</t>
  </si>
  <si>
    <t>0.149239</t>
  </si>
  <si>
    <t>0.534192</t>
  </si>
  <si>
    <t>0.137691</t>
  </si>
  <si>
    <t>human rights abuses;Sustainable Palm Oil;joint complaint;environmental violations;ongoing deforestation;stop deforestation;</t>
  </si>
  <si>
    <t>due to concerns over ongoing deforestation and human rights abuses within its operations;The investigation revealed instances of forced labour, dangerous working conditions and poverty-level wages that resulted in the NGOs leading a joint complaint in 2016 to the Roundtable on Sustainable Palm Oil;The investigation revealed instances of forced labour, dangerous working conditions and poverty-level wages that resulted in the NGOs leading a joint complaint in 2016 to the Roundtable on Sustainable Palm Oil;”Averbeck pointed to Indofood’s history of labour and environmental violations, which have been exposed in numerous reports by NGOs such as RAN;due to concerns over ongoing deforestation and human rights abuses within its operations;Robin Averbeck from the Rainforest Action Network, a US-based non-government organisation (NGO) that has actively campaigned against Indofood for years, called the decision by Nestlé a strong move, adding: “No company, bank or certification system which espouses commitments to uphold human rights and stop deforestation should continue to be in business with Indofood;</t>
  </si>
  <si>
    <t>Nestlé and PepsiCo, both long time business partners of Indofood, have ended direct and indirect sourcing of palm oil from IndoAgri...due to concerns over ongoing deforestation and human rights abuses within its operations.  In an updated statement on its palm oil policy in Indonesia, PepsiCo said that it has decided to suspend sourcing palm oil from IndoAgri to its joint venture with Indofood, “pending further progress and visibility” around allegations of labour violations on its plantations. PepsiCo remains in business with the company under Indofood Fritolay Makamur (IFL)...Nestlé has also stated on its website that it had agreed to close its joint venture with Indofood Group in September 2018 for “commercial reasons”,including it in a list of companies that have been or are in the process of being removed from Nestlé supply chains....Robin Averbeck from the Rainforest Action Network, a US-based non-government organisation (NGO) that has actively campaigned against Indofood for years, called the decision by Nestlé a strong move, adding: “No company, bank or certification system which espouses commitments to uphold human rights and stop deforestation should continue to be in business with Indofood.”Averbeck pointed to Indofood’s history of labour and environmental violations, which have been exposed in numerous reports by NGOs such as RAN...The investigation revealed instances of forced labour, dangerous working conditions and poverty-level wages that resulted in the NGOs leading a joint complaint in 2016 to the Roundtable on Sustainable Palm Oil...</t>
  </si>
  <si>
    <t>0.247164</t>
  </si>
  <si>
    <t>0.18607</t>
  </si>
  <si>
    <t>0.287769</t>
  </si>
  <si>
    <t>0.256953</t>
  </si>
  <si>
    <t>IndoAgri</t>
  </si>
  <si>
    <t>palm oil unit IndoAgri;Indonesia’s labour laws;Indonesia’s largest food company;palm oil producer;subject of ongoing RSPO complaints;violation of both RSPO standards;</t>
  </si>
  <si>
    <t xml:space="preserve"> On February 28, 2019, the RSPO suspended palm oil producer PT Salim Ivomas Pratama Tbk (SIMP), a subsidiary of Indofood’s palm oil unit IndoAgri, for not complying with a corrective action plan after it was found in violation of both RSPO standards and Indonesia’s labour laws; On February 28, 2019, the RSPO suspended palm oil producer PT Salim Ivomas Pratama Tbk (SIMP), a subsidiary of Indofood’s palm oil unit IndoAgri, for not complying with a corrective action plan after it was found in violation of both RSPO standards and Indonesia’s labour laws;The Salim Group runs First Pacific, which owns a majority stake in PT Indofood Sukses Makmur Tbk (Indofood), Indonesia’s largest food company; On February 28, 2019, the RSPO suspended palm oil producer PT Salim Ivomas Pratama Tbk (SIMP), a subsidiary of Indofood’s palm oil unit IndoAgri, for not complying with a corrective action plan after it was found in violation of both RSPO standards and Indonesia’s labour laws;IndoAgri has been the subject of ongoing RSPO complaints for child labor, poor labor practices, and producing palm oil linked to deforestation; On February 28, 2019, the RSPO suspended palm oil producer PT Salim Ivomas Pratama Tbk (SIMP), a subsidiary of Indofood’s palm oil unit IndoAgri, for not complying with a corrective action plan after it was found in violation of both RSPO standards and Indonesia’s labour laws;</t>
  </si>
  <si>
    <t>The withdrawal of Indofood from the Roundtable on Sustainable Palm Oil (RSPO) and the subsequent suspensions of its subsidiaries signal a possible expanding gap between the NDPE market and the leakage market. On February 28, 2019, the RSPO suspended palm oil producer PT Salim Ivomas Pratama Tbk (SIMP), a subsidiary of Indofood’s palm oil unit IndoAgri, for not complying with a corrective action plan after it was found in violation of both RSPO standards and Indonesia’s labour laws. The RSPO also suspended SIMP’s subsidiary PT Perusahaan Perkebunan London Sumatra Indonesia (Lonsum) for similar violations. Indofood, for its part, withdrew from the certification body in late January. Given Indofood’s presence in Indonesian and Southeast Asian markets, it is likely the company will focus on servicing leakage markets.The Salim Group runs First Pacific, which owns a majority stake in PT Indofood Sukses Makmur Tbk (Indofood), Indonesia’s largest food company. The company is listed on the Indonesia Stock Exchange. Singapore-listed IndoAgri, a vertically integrated palm oil producer, is a subsidiary of Indofood.No Deforestation, No Peatland, No Deforestation (NDPE) policies have pressured Indofood and its subsidiaries to produce, refine, and sell palm oil that is not linked to deforestation. Even with these measures, Indofood’s subsidiaries still produced palm oil that did not meet RSPO standards. Indofood is vertically integrated and can circumvent the NDPE market, and it can use its own palm oil for its own food production. Indofood subsidiaries will likely supply leakage markets now that they are not RSPO members.IndoAgri has been the subject of ongoing RSPO complaints for child labor, poor labor practices, and producing palm oil linked to deforestation. With a landbank of approximately 550,000 hectares, its NDPE non-compliance reverberates throughout the Southeast Asia palm oil market. In February 2017, a Chain Reaction Research (CRR) paper showed that 42 percent of IndoAgri’s landbank is contested as a result of environmental degradation, conflicts with communities, and other issues. CRR estimated that the contested landbank and alleged labor risks could negatively impact IndoAgri’s share price by up to 20 percent.IndoAgri is subject to a variety of business, financial, and reputation risks. The share price for IndoAgri, whose market cap is currently USD 286 million, is down 36 percent in the past year. Approximately three-quarters of Southeast Asia’s palm oil refining capacity is covered by NDPE sourcing policy. Some traders and refiners may balk at buying palm oil from IndoAgri subsidiaries now that they are not RSPO members. IndoAgri’s problems could portend trouble for Indofood, whose withdrawal from the RSPO could negatively affect its equity price.Indofood and its subsidiaries have already dealt with fallout from accusations over the past few years. PepsiCo suspended both direct and indirect purchases of palm oil from IndoAgri in 2018, while Nestlé ended its joint venture with Indofood. Other buyers such as Hershey’s, Kellogg’s, General Mills, Unilever, and Mars have also severed relationships with the company, as have traders such as Musim Mas, AAK, and Cargill, among others. The Norwegian Government Pension Global Fund, the largest sovereign wealth fund in the world, divested from Indofood in 2016 amid concerns about the production deforestation-linked palm oil. The company is also seeing a backlash from its lenders. The Rainforest Action Network, which began its campaign against Indofood in 2016, has called on banks to cancel all financing to Indofood.</t>
  </si>
  <si>
    <t>0.287045</t>
  </si>
  <si>
    <t>0.085597</t>
  </si>
  <si>
    <t>0.097272</t>
  </si>
  <si>
    <t>0.497487</t>
  </si>
  <si>
    <t>IOI Group</t>
  </si>
  <si>
    <t>human rights abuses;violations of the roundtable;rainforest destruction;rainforest destruction;social conflicts;serious deforestation;</t>
  </si>
  <si>
    <t>”Unilever, Kellogg and Mars have each pledged to purge their supply chains of rainforest destruction, peatland conversion and human rights abuses, though none can yet claim to have traced its palm oil supply to the plantation level, a prerequisite for achieving the ambitious goals;Malaysia’s IOI was suspended from the RSPO over violations of the roundtable’s sustainability standards in Borneo; Three of IOI’s subsidiaries are alleged to have violated a raft of RSPO standards meant to prevent rainforest destruction and social conflicts, and to have broken the law;”Unilever, Kellogg and Mars have each pledged to purge their supply chains of rainforest destruction, peatland conversion and human rights abuses, though none can yet claim to have traced its palm oil supply to the plantation level, a prerequisite for achieving the ambitious goals; Three of IOI’s subsidiaries are alleged to have violated a raft of RSPO standards meant to prevent rainforest destruction and social conflicts, and to have broken the law;“But after six years of having every chance in the world to address these grievances in some other fashion, and meanwhile continuing to pile up serious deforestation and labor rights violations, I would hope RSPO takes IOI’s appeal as seriously as IOI has taken any one of its own promises to do better;</t>
  </si>
  <si>
    <t>Malaysia’s IOI was suspended from the RSPO over violations of the roundtable’s sustainability standards in Borneo.Since then, IOI’s customers have moved to cancel contracts with the conglomerate, to date one of the major suppliers of RSPO-brand “Certified Sustainable Palm Oil.”IOI has submitted an action plan for RSPO reinstatement.In the wake of IOI Group’s suspension from the the world’s largest association for ethical palm oil production, its customers Unilever, Kellogg and Mars have announced they will stop doing business with the Malaysian conglomerate.IOI Group, and its downstream affiliate IOI Loders Croklaan, were suspended from the Roundtable on Sustainable Palm Oil (RSPO) last month over the group’s plantations in the Ketapang area of Kalimantan, the Indonesian part of Borneo. Three of IOI’s subsidiaries are alleged to have violated a raft of RSPO standards meant to prevent rainforest destruction and social conflicts, and to have broken the law.Unilever was the first to drop IOI. The Anglo-Dutch consumer goods giant said in a statement last week that it was “disengaging” with the conglomerate in what was expected to be a three-month process.Asked whether that meant it was cancelling its contracts with IOI or simply suspending them, a Unilever spokesperson told Mongabay, “The reason we’ve said disengaging rather than cancelled is that is takes a number of weeks to end these sorts of contracts – so the process isn’t instant.” The spokesperson added, “Separately but in tandem with this process, we are working with IOI and NGOs to try and transform IOI’s business make it sustainable – this is because of the transformational effect this could have on the palm oil industry.“IOI does now have the opportunity to turn this back around and demonstrate its commitment to sustainable palm oil but this needs to be done immediately and with complete transparency.”It is understood that Unilever told NGOs it was cancelling its contracts with IOI, one of its biggest suppliers of RSPO-brand “Certified Sustainable Palm Oil,” or CSPO.“Unilever is the first customer to cancel contracts with IOI,” Greenpeace forest campaigner Annisa Rahmawati said on Friday. “Other companies should follow its lead. If IOI wishes to regain its customers, it must take immediate and significant action to address its legacy by restoring and protecting the peatland forests it has destroyed. It must also address the serious social, labor and environmental issues that continue to taint its supply chain.”Also on Friday, Kellogg said it had already begun removing IOI from its supply chain in January because of troubling reports about its operations. As of March, 67% of IOI’s volume had been transitioned to other suppliers, and the remaining volume would be transitioned over the next 90 days, according to Kellogg.“We continue to drive industry transformation through our engagement with RSPO, all suppliers, and palm industry working groups,” the American multinational said.Mars, which is owned by the Mars family, said it would “not source palm oil from [IOI] while the suspension is in place.”Unilever, Kellogg and Mars have each pledged to purge their supply chains of rainforest destruction, peatland conversion and human rights abuses, though none can yet claim to have traced its palm oil supply to the plantation level, a prerequisite for achieving the ambitious goals. Before the suspension took effect, IOI appealed to the RSPO to apply the suspension only to its plantations and not to its refineries, so that IOI Loders Croklaan could continue marketing CSPO and avoid disrupting its customers’ supply schemes.“I can admire the chutzpah required to put such an outlandishly attenuated notion of justice on paper – that there should be no accountability because accountability would cause some commercial disruption,” Glenn Hurowitz, former chairman of the Forest Heroes campaign, which tries to get corporations to adopt zero-deforestation policies, wrote in the Huffington Post.“But after six years of having every chance in the world to address these grievances in some other fashion, and meanwhile continuing to pile up serious deforestation and labor rights violations, I would hope RSPO takes IOI’s appeal as seriously as IOI has taken any one of its own promises to do better.” IOI has submitted an action plan for RSPO reentry, and a spokesperson said the company “is very concerned about the impact on its stakeholders and reputation, if the group is not able to supply certified palm oil in the future due to prolonged suspension; these potential sales losses are not quantifiable.”IOI is controlled by the family of the 77-year-old Lee Shin Cheng, whose net worth Forbes estimates at $5 billion. The listed conglomerate is also a major property developer and chemicals manufacturer.</t>
  </si>
  <si>
    <t>0.525351</t>
  </si>
  <si>
    <t>0.068349</t>
  </si>
  <si>
    <t>0.206989</t>
  </si>
  <si>
    <t>0.461041</t>
  </si>
  <si>
    <t>PT ES</t>
  </si>
  <si>
    <t>palm oil;deforestation’ policies;ongoing illegal forest clearances;destruction of Sumatra;human-animal conflicts;</t>
  </si>
  <si>
    <t>“Brands and traders tend to hide behind supply chain complexities,” she said, “but consumers need to know whether or not the palm oil they use is connected to the destruction of rainforests;“If more immediate action is not taken to enforce ‘no deforestation’ policies, these brands will be remembered as the corporate giants responsible for the destruction of the last place on earth where Sumatran elephants, orangutans, rhinos and tigers roamed side by side,” says the study by Rainforest Action Network (RAN);Using satellite data, photographic evidence and GPS coordinates, the research builds on evidence gathered earlier this year to show ongoing illegal forest clearances across swathes of the 2;Pepsico, Unilever and Nestlé have been accused of complicity in the destruction of Sumatra’s last tract of rainforest shared by elephants, orangutans, rhinos, and tigers together in one ecosystem; At least 35 elephants were killed in Leuser between 2012-2015, and human-animal conflicts are fast increasing as palm plantations fragment animal habitats;</t>
  </si>
  <si>
    <t>Pepsico, Unilever and Nestlé have been accused of complicity in the destruction of Sumatra’s last tract of rainforest shared by elephants, orangutans, rhinos, and tigers together in one ecosystem.Plantations built on deforested land have allegedly been used to supply palm oil to scores of household brands that also include McDonald’s, Mars, Kellogg’s and Procter &amp; Gamble, according to a new report.“If more immediate action is not taken to enforce ‘no deforestation’ policies, these brands will be remembered as the corporate giants responsible for the destruction of the last place on earth where Sumatran elephants, orangutans, rhinos and tigers roamed side by side,” says the study by Rainforest Action Network (RAN).Using satellite data, photographic evidence and GPS coordinates, the research builds on evidence gathered earlier this year to show ongoing illegal forest clearances across swathes of the 2.6m hectare Leuser ecosystem, despite a moratorium announced last June. The palm oil reaches major brands via a twisting supply chain that stretches from the PT Agra Bumi Niaga (ABN) logging company, which delivers to a processing mill owned by PT Ensem Sawita (ES), which then sells the palm oil on to some of the world’s largest traders. PT is an abbreviation that denotes a limited liability company in Indonesia.PT ABN declined requests for comment but after extensive Guardian inquiries, PT ES admitted using ABN’s palm oil – due to confusion after the logging firm changed its name – and said that it “regretted this failure”.The company promised to “strengthen our traceability practices by exchanging information to relevant stakeholders who have palm oil plantation data.”However, Gemma Tillack, RAN’s agribusiness campaigns director, said that ABN’s name change had been reported, and the continued inability of palm traders and food brands to source the palm they used back to the plantations showed a wider failing of due diligence systems.“Relying on NGOs to uncover the truth is simply not good enough,” she said. “If RAN, with our relatively limited budget, can figure it out, then multibillion dollar, multinational corporations certainly can. The fact that they haven’t demonstrates that it is not a lack of ability holding them back, but a lack of will.”Leuser’s vanishing ecosystem is already have a devastating effect on critically endangered elephants which use it as a migratory corridor. At least 35 elephants were killed in Leuser between 2012-2015, and human-animal conflicts are fast increasing as palm plantations fragment animal habitats.Many species such as tigers, clouded leopards and sun bears are becoming more vulnerable to poachers, as their environment disappears. Leuser is still Sumatra’s largest rainforest and its Unesco world heritage status was reaffirmed this month, despite Indonesian government protests.But its deforestation rate is among the world’s highest. In the 2015 haze disaster, Sumatran wildfires, often linked to plantation activity, destroyed 8,000 sq miles of rainforest, contributing to the early deaths of an  and  that year.Indonesia’s president Joko Widodo responded with a moratorium on new palm oil permits last April. Two months later, Aceh’s governor, Zaini Abdullah ordered palm oil companies to halt all forest clearing, even where valid permits existed.But RAN’s research shows that ABN continued clearing another 336 hectares of Sumatran rainforest after Abdullah’s instruction, with 12 hectares of new deforestation since February.In just one district of the Leuser, nine other suppliers to milling companies continued logging activities since last June across concessions with a combined area of more than 26,000 hectares, according to RAN’s research. Tillack said: “We believe that there was a rush to clear land because the [logging] companies knew that there would be government intervention to stop forest clearances.“Global brands like Pepsico can no longer hide behind paper promises and simply blame their international partners for forest crimes. The Leuser ecosystem will die a death of a thousand cuts if brands don’t start taking urgent action to address the root cause of this crisis.”A spokesman for Pepsico, singled out by RAN as , said “We take this issue very seriously, and we are making significant investments to improve every aspect of our palm oil supply chain. After being informed of the allegations, we immediately initiated a thorough investigation. While we do not source directly from the mills in question, we identified direct suppliers who had the mills in their supply chains. We have been assured that these suppliers are taking corrective actions to address the allegations.”Unilever admitted that it had indirectly bought palm oil from PT ABN through its suppliers, Wilmar and Musim Mas, and said that it had requested “a response and an action plan” from them soon.Nestlé also said that it was investigating the allegations with Wilmar – which told the guardian that it was sending a team to the region to assess whether other sources in its supply chain were using palm oil sourcing back to PT ABN’s 2,000 hectare concession. Mars and Kellogg’s stressed their sustainable palm oil policies, while Procter &amp; Gamble said that it had told suppliers about its responsible sourcing policy. McDonald’s denied any links to PT ABN.Of the palm oil traders which supplying the food brands, IOI said that that it had “registered recent deliveries from PT ES in our supply chain” but that the firm had “confirmed that they no longer source from PT ABN”. Golden Agri-Resources said that its exposure to PT ES was “relatively small” but that it would visit the company in the next weeks to find out if it was indirectly selling on palm oil from PT ABN. Cargill and Musim Mas both said that they were investigating the reports.However, the companies had been warned about ‘conflict palm oil’ entering the supply chain through PT ES’s third-party suppliers since 2014, and engagement with the firm had not changed its behaviour.“Brands and traders tend to hide behind supply chain complexities,” she said, “but consumers need to know whether or not the palm oil they use is connected to the destruction of rainforests.”</t>
  </si>
  <si>
    <t>0.591397</t>
  </si>
  <si>
    <t>0.100741</t>
  </si>
  <si>
    <t>0.173316</t>
  </si>
  <si>
    <t>0.181012</t>
  </si>
  <si>
    <t>palm oil;Indofood’s abuses;petition;petition;petition;</t>
  </si>
  <si>
    <t>Can you help make this victory count by signing the petition telling Pepsi to distance itself from the toxic palm oil company for good?Our allies at Rainforest Action Network first revealed Indofood’s abuses two years ago;Can you help make this victory count by signing the petition telling Pepsi to distance itself from the toxic palm oil company for good?Our allies at Rainforest Action Network first revealed Indofood’s abuses two years ago;Tell Pepsi to end its business partnership with Indofood for good!Over 240,000 SumOfUs members signed the petition demanding the Roundtable on Sustainable Palm Oil (RSPO) take action against the industry laggard, for exploiting its workers and destroying Indonesia’s rainforest;Can you help make this victory count by signing the petition telling Pepsi to distance itself from the toxic palm oil company for good?Our allies at Rainforest Action Network first revealed Indofood’s abuses two years ago; Please sign the petition and help force Pepsi to terminate its business deal with Indofood once and for allWe know our people-powered campaigning can push big brands into action;</t>
  </si>
  <si>
    <t>Update : 29 January 2019 - We’ve made a new video exposing Pepsi's ties to conflict palm oil. Can you share it and help make it viral?This is more urgent than ever as we've just heard that Indofood is abandoning international standards for sustainable palm oil. That video is our chance to get Pepsi's attention.BREAKING: The world’s largest sustainable palm oil authority just sanctioned Pepsi’s business partner, infamous palm oil villain Indofood, for abusing workers on its plantations.It’s our chance to hold Pepsi to its well-publicised sustainable palm oil promises.Tell Pepsi to end its business partnership with Indofood for good!Over 240,000 SumOfUs members signed the petition demanding the Roundtable on Sustainable Palm Oil (RSPO) take action against the industry laggard, for exploiting its workers and destroying Indonesia’s rainforest.Thousands more tweeted and shared a campaign video paid for by SumOfUs members. Together, we pressured the world’s leading palm oil certification body to respond. That's something to celebrate!Now’s our chance to get Pepsi to finally cut ties with Indofood. Pepsi still cashes in obscene profits from a joint venture partnership with the company, and Pepsi has a new CEO who hasn’t heard from SumOfUs members yet.Can you help make this victory count by signing the petition telling Pepsi to distance itself from the toxic palm oil company for good?Our allies at Rainforest Action Network first revealed Indofood’s abuses two years ago. Together, SumOfUs members used our collective power to drive up pressure this summer and achieve these sanctions.And we did it! The RSPO's report on Indofood confirmed:Female workers are paid less than men, do not receive equal job benefits as men, and are not entitled to maternity leave. Overly high quotas are enforced, that put pressure on harvesters to bring in their family, including children, or face penaltiesIndofood breaks Indonesian labour laws by over relying on casual workers, who are paid less than minimum wage and denied health insurance and pensions.The decision to finally punish Indofood is a critical step towards justice for workers who face dangerous, oppressive, and illegal working conditions. The RSPO is suspending Indofood’s “sustainability” certificates of the mill and estates where the abuses were documented and is requiring a corrective action plan.While we're still pushing for the RSPO to suspend certification for all Indofood's operations, these sanctions are clear evidence that Pepsi must end its joint venture partnership with Indofood -- if its ‘sustainable’ palm oil policy is to retain any scrap of credibility. Please sign the petition and help force Pepsi to terminate its business deal with Indofood once and for allWe know our people-powered campaigning can push big brands into action. Last month, after sustained pressure from SumOfUs members, Nestlé ended its own 13 year old business partnership with Indofood. Showing that if PepsiCo really wanted to, it could too. And when 150,000 SumOfUs members put pressure on Pepsi’s departing CEO last month, Pepsi responded and stopped sourcing palm oil from Indofood -- but failed to cut ties completely, keeping its business partnership in Indonesia. Unless we use this moment to double down on our campaign, with the threats of reputation damage, negative media coverage, and lost customers, Pepsi may hope to weather out the storm until the sanctions end. So we need to act fast.Let's tell Pepsi's new CEO there’s simply no excuse for inaction on exploitation and rainforest destruction.</t>
  </si>
  <si>
    <t>0.596932</t>
  </si>
  <si>
    <t>0.101446</t>
  </si>
  <si>
    <t>0.477813</t>
  </si>
  <si>
    <t>0.559104</t>
  </si>
  <si>
    <t>Procter &amp; Gamble</t>
  </si>
  <si>
    <t>human rights violations;Gamble’s villainous palm oil partner FGV;human rights abuse;Pepsi’s business partner Indofood;petition;</t>
  </si>
  <si>
    <t>Procter &amp; Gamble’s villainous palm oil partner FGV, has been sanctioned over multiple human rights violations, including trafficking and forced labour;Procter &amp; Gamble’s villainous palm oil partner FGV, has been sanctioned over multiple human rights violations, including trafficking and forced labour; Can you sign the petition to demand that Procter &amp; Gamble, Nestlé, Mondelez, and PepsiCo end human rights abuse in their supply chains?Tell Procter &amp; Gamble &amp; big brands to stop doing business with FGV until workers’ rights are respected on palm oil plantations; Over 240,000 of you helped push the RSPO to sanction Pepsi’s business partner Indofood over its labour law abuses; Can you sign the petition to demand that Procter &amp; Gamble, Nestlé, Mondelez, and PepsiCo end human rights abuse in their supply chains?Tell Procter &amp; Gamble &amp; big brands to stop doing business with FGV until workers’ rights are respected on palm oil plantations;</t>
  </si>
  <si>
    <t>Procter &amp; Gamble’s villainous palm oil partner FGV, has been sanctioned over multiple human rights violations, including trafficking and forced labour.FGV or “Felda” has been found guilty of human trafficking and forced labour on its plantations. 160,000 SumOfUs members like you helped expose FGV, Malaysia’s biggest palm oil producer, in 2015 -- and these sanctions are proof that the industry is finally listening to us.Big brands like Procter &amp; Gamble, PepsiCo, Nestlé, and Mars brag about their sustainable palm oil policies, while continuing to profit from FGV’s forced labour. Now they have no excuse not to force FGV to change, but unless they feel the pressure to act, they could try to weather the storm.Both Unilever and Hershey’s have dropped FGV, and now we need your help to create a domino effect and put FGV against the wall -- to force it to change its exploitative ways. Can you sign the petition to demand that Procter &amp; Gamble, Nestlé, Mondelez, and PepsiCo end human rights abuse in their supply chains?Tell Procter &amp; Gamble &amp; big brands to stop doing business with FGV until workers’ rights are respected on palm oil plantations.To produce the oil it sells to P&amp;G, Nestle, Mondelez, and Pepsico, FGV is reliant on migrant workers recruited by mercenary human traffickers. These “contractors” withhold workers’ passports, overcharge them for food and necessities,and refuse to let them leave plantations without written permission.That oil, harvested by migrant workers forced to endure dire living conditions, goes into Head &amp; Shoulders, Pantene and Herbal Essences shampoo, and other products we use every day.In response to the RSPO sanctions, FGV announced it would overhaul its recruitment policy -- but until it can prove its workers are being treated humanely, paid fair wages, and not subjected to modern day slavery conditions, Procter &amp; Gamble and big brands must use their leverage and put pressure on FGV to force to change its ways for good.If not, they’re sending the message that these companies value profits over human rights. And that’s a message any public-facing corporation can’t afford to send now.Tell P&amp;G, PepsiCo, Nestle, Mars and other brands to honour their sustainability commitments and force FGV into real action!The past couple of months have seen some huge victories by SumOfUs members against unethical and inhumane palm oil actors. Over 240,000 of you helped push the RSPO to sanction Pepsi’s business partner Indofood over its labour law abuses.Our pressure is transforming the palm oil industry -- and if we can keep this momentum going, there’s no telling how much more we can accomplish together.Tell P&amp;G, PepsiCo, Nestle, Mars and other brands to honour their sustainability commitments and force FGV into real action!</t>
  </si>
  <si>
    <t>0.498766</t>
  </si>
  <si>
    <t>0.194459</t>
  </si>
  <si>
    <t>0.230277</t>
  </si>
  <si>
    <t>0.513159</t>
  </si>
  <si>
    <t>SMG/APP</t>
  </si>
  <si>
    <t>violation of APP;destruction of wildlife habitat;deforestation;deforestation;conflicts;</t>
  </si>
  <si>
    <t xml:space="preserve"> Silva Rimba Lestari of Djarum Group, had cleared nearly 32,000 hectares of natural forest in violation of APP’s FCP; Prior to this, SMG/APP and its pulpwood suppliers had a history of almost 30 years of deforestation, destruction of wildlife habitat, peat drainage and conflicts with local communities related to the acquisition of land for wood harvesting and pulpwood plantation development in Sumatra and Kalimantan, Indonesia; Prior to this, SMG/APP and its pulpwood suppliers had a history of almost 30 years of deforestation, destruction of wildlife habitat, peat drainage and conflicts with local communities related to the acquisition of land for wood harvesting and pulpwood plantation development in Sumatra and Kalimantan, Indonesia; FSC’s decision followed a series of recent revelations about a lack of commitment by SMG/APP to disclose all their associated companies to hide their continuing involvement in deforestation and their total environmental and social footprint which need to be remedied; Prior to this, SMG/APP and its pulpwood suppliers had a history of almost 30 years of deforestation, destruction of wildlife habitat, peat drainage and conflicts with local communities related to the acquisition of land for wood harvesting and pulpwood plantation development in Sumatra and Kalimantan, Indonesia;</t>
  </si>
  <si>
    <t>WWF recommends that companies and financial investors avoid doing business with SMG/APP and its affiliates until a regular, truly independent third-party verification demonstrates significant progress against the FSC´s roadmap requirements.In 2013, Sinar Mas Group’s Asia Pulp &amp; Paper (SMG/APP) committed to halt deforestation under its Forest Conservation Policy (FCP). Prior to this, SMG/APP and its pulpwood suppliers had a history of almost 30 years of deforestation, destruction of wildlife habitat, peat drainage and conflicts with local communities related to the acquisition of land for wood harvesting and pulpwood plantation development in Sumatra and Kalimantan, Indonesia.On August 15, 2018 the Anti Forest Mafia Coalition, including WWF-Indonesia, published a report revealing that two APP suppliers in East Kalimantan, PT. Fajar Surya Swadaya (FSS) and PT. Silva Rimba Lestari of Djarum Group, had cleared nearly 32,000 hectares of natural forest in violation of APP’s FCP.On August 16, the Forest Stewardship Council (FSC) announced its decision to suspend the process it had started in early 2017 to design a roadmap to end its disassociation with APP and awaits “further information from APP related to its corporate structure and alleged unacceptable forest management activities by companies thought to be related to APP”. FSC’s decision followed a series of recent revelations about a lack of commitment by SMG/APP to disclose all their associated companies to hide their continuing involvement in deforestation and their total environmental and social footprint which need to be remedied. APP remains the first among a very small number of the most controversial companies in the world FSC has disassociated from.WWF strongly recommends that companies and financial investors end their business relationships with SMG/APP and its affiliates, including Nippecraft Ltd., Collins Debben Ltd.-Australia, and Collins Debben Ltd.-United Kingdom, whose FSC certificates were recently suspended, until a regular, truly independent third-party verification demonstrates significant progress by SMG/APP companies, its affiliates and global wood supply partners. This progress should be measured against the NGOs’ published Criteria and Indicators which include an association with FSC among the performance criteria.</t>
  </si>
  <si>
    <t>0.392665</t>
  </si>
  <si>
    <t>0.470699</t>
  </si>
  <si>
    <t>0.040705</t>
  </si>
  <si>
    <t>0.129742</t>
  </si>
  <si>
    <t>0.238334</t>
  </si>
  <si>
    <t>0.19125899999999998</t>
  </si>
  <si>
    <t>Reckitt Benckiser</t>
  </si>
  <si>
    <t>palm oil;cultivation of palm oil;destruction of tropical forests;zero deforestation commitments;</t>
  </si>
  <si>
    <t xml:space="preserve"> In Indonesia, the destruction of tropical forests for the cultivation of palm oil shows no signs of slowing down; In Indonesia, the destruction of tropical forests for the cultivation of palm oil shows no signs of slowing down; In Indonesia, the destruction of tropical forests for the cultivation of palm oil shows no signs of slowing down; These companies must immediately sort through their supply chain and break off commercial ties with producers who refuse to comply with zero deforestation commitments;</t>
  </si>
  <si>
    <t>Eight companies published all the information prior to the release of the report: General Mills, Colgate-Palmolive, Mars, Mondelez, Nestlé, Procter and Gamble, Reckitt Benckiser and Unilever.In the wake of the publication of the Greenpeace report, three companies (Ferrero, PZ Cussons and Pepsico) also published all their suppliers and all the factories to which they supply. In total, it is 11 companies in the cosmetics and food sectors who have agreed to be transparent; the bad news is that we have found links with producers who destroy the forests in the lists of suppliers and factories published by these companies. These companies must immediately sort through their supply chain and break off commercial ties with producers who refuse to comply with zero deforestation commitments. There are also bad students like Hershey's, Johnson &amp; Johnson, Kellog's, Smucker's and Kraft Heinz, who still refuse to publish a list of their suppliers, and in doing so, hide their potential links with companies that destroy tropical forests, drain peatlands, and violate workers' rights. In order to prove that the palm oil they use in the products we find in our supermarkets does not come from plantations that are responsible for deforestation, they must start by doing all the light on their suppliers. In Indonesia, the destruction of tropical forests for the cultivation of palm oil shows no signs of slowing down. Various NGOs have established a link between major brands and palm oil companies that destroy tropical forests and exploit local labor. This is the case with Global Witness, RAN, Amnesty International and Chain Reaction Research. Indonesia is home to more threatened or endangered species than any other country. This sad record is largely due to the loss of habitat for these species. Borneo's orangutan population has halved since 1999, with a loss of 100,000 individuals over the past 16 years. In 2017, a new species of orangutans was discovered on the island of Sumatra. She is already in danger. According to the analyses carried out by Greenpeace based on official data, 24 million hectares of forest were destroyed in Indonesia between 1990 and 2015. In the period 2013-2015, a surface equivalent to 146 football fields was destroyed every hour. There are less than 1,000 days left for companies to fulfil their commitment and to prove to consumers and civil society that their products are guaranteed without deforestation.</t>
  </si>
  <si>
    <t>0.593703</t>
  </si>
  <si>
    <t>0.120849</t>
  </si>
  <si>
    <t>0.488994</t>
  </si>
  <si>
    <t>0.522431</t>
  </si>
  <si>
    <t>palm oil;palm oil;deforestation;single largest driver of deforestation;</t>
  </si>
  <si>
    <t xml:space="preserve"> The refinery, which is on the Indonesian island of Sulawesi, was processing palm oil from major producers that are destroying rainforests in Kalimantan and Papua, Indonesia; The plantation sector - palm oil and pulp - is the single largest driver of deforestation in Indonesia; The plantation sector - palm oil and pulp - is the single largest driver of deforestation in Indonesia; The plantation sector - palm oil and pulp - is the single largest driver of deforestation in Indonesia;</t>
  </si>
  <si>
    <t>For twelve hours thirty Greenpeace volunteers occupied a palm oil refinery belonging to Wilmar International, the world’s largest palm oil trader.Wilmar supplies major brands including Colgate, Mondelez, Nestlé and Unilever. The refinery, which is on the Indonesian island of Sulawesi, was processing palm oil from major producers that are destroying rainforests in Kalimantan and Papua, Indonesia. False promisesKiki Taufik, head of Greenpeace’s global Indonesia forests campaign said: "Wilmar has been promising to clean up its supply chain since 2013. Yet it is still buying palm oil from forest destroyers."It is not Greenpeace’s responsibility to police their supply chain. Wilmar should only buy palm oil from producers it can prove are clean. That is what Wilmar CEO Kuok Khoon Hong promised almost five years ago." The Greenpeace team includes volunteers and climbers from Indonesia, Malaysia, the Philippines, Thailand, the UK, France and Australia.One group of  activists climbed the anchor chain of a tanker ship transporting palm oil and are preventing it from moving. Another group scaled the refinery and painted “DIRTY” in five-metre high letters on the storage tanks. Severe deforestationIn 2013, Wilmar became the first palm oil trader to adopt a ‘no deforestation, no peat, no exploitation’ policy.But last week, a Greenpeace International investigation revealed that 25 palm oil producers had cleared 130,000ha of rainforest since 2015. Wilmar was buying from 18 of those palm oil groups; three supplied the refinery where the protest is taking place.Only a fraction of the palm oil that Wilmar trades comes from its own plantations; more than 80 percent comes from other palm oil producers.  Dal Payne, a climber from the UK taking part in the action said: “This refinery is loaded with Wilmar’s dirty palm oil and if we weren’t here it would be on its way to supermarkets all over the world. Hundreds of thousands of consumers have had enough of forest destruction."The message to brands like Unilever, Nestlé and Mondelez is simple: cut Wilmar off until it breaks all links with forest destroyers.”Forest destroyersGreenpeace is calling on Wilmar to prove that it no longer sources palm oil from forest destroyers. The first step is to requiring all producer groups in its supply chain to publish mill location data and concession maps for their entire operations and to cut off any that refuse.  Wilmar International and other palm oil groups are regularly accused of exploiting workers, children and local communities. The plantation sector - palm oil and pulp - is the single largest driver of deforestation in Indonesia. Around 24 million hectares of rainforest was destroyed in Indonesia between 1990 and 2015, according to official figures released by the Indonesian government. Deforestation and peatland destruction are major sources of greenhouse gas emissions which contribute to climate change. This has pushed Indonesia into the top tier of global emitters, alongside the United States of America and China.Plantation development is a root cause of Indonesia’s forest and peatland fires. In July 2015, devastating blazes spread in Sumatra, Kalimantan and Papua. These fires produced a haze that affected millions of people across Southeast Asia.Researchers at Harvard and Columbia Universities estimate that the smoke from 2015 Indonesian fires may have caused 100,000 premature deaths. The World Bank calculated the cost of the disaster at 16 billion US dollars.</t>
  </si>
  <si>
    <t>0.501785</t>
  </si>
  <si>
    <t>0.143198</t>
  </si>
  <si>
    <t>0.510626</t>
  </si>
  <si>
    <t>0.50021</t>
  </si>
  <si>
    <t>Nestle</t>
  </si>
  <si>
    <t>destruction of the RSPO;flagrant violations;deforestation;petition;</t>
  </si>
  <si>
    <t xml:space="preserve"> Together, we can denounce the destruction of the RSPO and jeopardise its reputation so that the certification body does not maintain the status quo and does not neglect the flagrant violations on the part of Indofood; Together, we can denounce the destruction of the RSPO and jeopardise its reputation so that the certification body does not maintain the status quo and does not neglect the flagrant violations on the part of Indofood; This decision will be a crucial step in allowing Nestlé and Pepsi to clean up their supply chains and finally reduce deforestation and abusers;Sign the petition to demand that the RSPO suspend the Nestlé's trading partner, Indofood;</t>
  </si>
  <si>
    <t>Indofood, a trading partner of Nestle and Pepsi, is one of the worst players in palm oil production. Between deforestation and working conditions close to modern slavery, the Indonesian giant has been escaping sanctions for far too long, and this impunity may soon end! The main certification body for palm oil, the RSPO, could eventually suspend palm oil's palm oil from its certification scheme. The RSPO Claims Committee will meet in two weeks. We must act quickly. This decision will be a crucial step in allowing Nestlé and Pepsi to clean up their supply chains and finally reduce deforestation and abusers. Together, we can denounce the destruction of the RSPO and jeopardise its reputation so that the certification body does not maintain the status quo and does not neglect the flagrant violations on the part of Indofood.Sign the petition to demand that the RSPO suspend the Nestlé's trading partner, Indofood.Appartying to the richest man in Indonesia, Indofood has been the subject of multiple investigations for the exploitation of workers, paid wages of misery (and even less the workers), but also for dangerous working conditions and intimidation of communities and the theft of their lands. Indofood also ignores the directives of the RSPO on the protection of the precious habitat of orangutans and is guilty of logging on Carbon-rich peatlands, intensifying climate chaos. Nestlé is in the process. The food giant is working with Indofood to market its products in the South Asian market by benefiting from a lucrative partnership, cheating on its palm oil commitments. The suspension of Indofood by the industry's main certification system could force Nestlé to take drastic measures against Indofood, otherwise negative reactions from the public could be provoked. A suspension would strengthen our call for Nestle and PepsiCo to permanently break their ties with Indofood.</t>
  </si>
  <si>
    <t>0.503489</t>
  </si>
  <si>
    <t>0.107303</t>
  </si>
  <si>
    <t>0.218843</t>
  </si>
  <si>
    <t>0.169051</t>
  </si>
  <si>
    <t>human rights abuses;human rights violations;human rights violations;environmental destruction;</t>
  </si>
  <si>
    <t>Wilmar gave itself, its subsidiaries, and its third party suppliers two years to reach its goal: a serious-sounding commitment to dealing with the land-grabbing cases, human rights abuses, forest destruction and climate impacts that have dogged its operations;Legal challenge and community actionCases like these - of environmental destruction, and human rights violations - formed the basis of a federal lawsuit from the Nigeria-based NGO Rainforest Resource &amp; Development Centre in 2013; Wilmar has not changed its ways of working - it is high time to bring the company to account for its human rights violations, ameliorate its environmental impacts and pay compensation to the hundreds of victims facing eviction and dispossession;Legal challenge and community actionCases like these - of environmental destruction, and human rights violations - formed the basis of a federal lawsuit from the Nigeria-based NGO Rainforest Resource &amp; Development Centre in 2013;</t>
  </si>
  <si>
    <t>With the deadline due this year for the full implementation of Wilmar's 'No peat, no deforestation, no exploitation' promise, the oil palm giant is keen to push its green image in Europe. But for communities suffering its land grabs in Nigeria, nothing has changed. While Wilmar spins green rhetoric, its bulldozers are still destroying vast swathes of forest and farmland. In December 2013 Wilmar adopted a "no deforestation, no peat and no exploitation policy" to address its well-documented environmental and human rights failings.It was hailed as a brave step which would take Wilmar from being named by Newsweek as the world's least environmentally friendly big company in 2012 to a champion of sustainable operations.Wilmar gave itself, its subsidiaries, and its third party suppliers two years to reach its goal: a serious-sounding commitment to dealing with the land-grabbing cases, human rights abuses, forest destruction and climate impacts that have dogged its operations.Good news? Not quite. Friends of the Earth Europe has been campaigning for years to address the problems that Wilmar has caused in South East Asia and Africa. Our groups in Indonesia, Nigeria, Liberia and Uganda continue to see misconduct by Wilmar and its subsidiaries in these countries.In February this year legal action was taken by affected farmers in Uganda to claim restitution for their grabbed land and fair compensation for damages, three years after their land was taken for the plantation development.'Aggressive expansion' in NigeriaIn 2011 and 2012, Wilmar International purchased several plantation sites in Cross River State in southeastern Nigeria. These land purchases were part of the state's efforts to court 'high capacity' foreign investors to revive its flagging plantation economy.Together these plantations form a joint venture between Wilmar and the British food commodity firm PZ Cussons - PZ Wilmar.According to a November 2014 article in Businessday PZ Wilmar's investment of $165 million to develop the current 26,000 hectares of palm oil plantations is only the beginning. Tunde Oyelola, vice chairman of PZ Wilmar, announced plans to" ... aggressively expand the nation's palm oil production to 240,000 hectares of plantations, employing over 250,000 within five to six years."Deforestation, land grabs, pollution, exploitationThe plantation in Nigeria began development before Wilmar's sustainability pledge in 2013, but its expansion has continued apace since. A Friends of the Earth delegation organised by Environmental Rights Action / Friends of the Earth Nigeria visited affected communities in May 2015.Our visit was sobering. Far from operating like a corporation intent on meeting sustainability goals, Wilmar is up to its old tricks. In the village of Ibogo, the local community saw their farmland being excavated just one week before we arrived. They took us to show the land and the destroyed crops.Their stories are heartbreaking, because these people are desperate. Some of them have been cultivating the land for decades, and now their crops - plantains, bananas, cocoa and vegetables - are destroyed they have no way to provide alternative livelihoods.William Ogobe, 29, and with a young family, told us that the project had taken his farmland:"We used to plant plantains, cassava, cocoyam and vegetables here, as well as trees for timber. We grew wood for businesses, for houses and to feed ourselves - for firewood. Now because the forest is gone we have nothing left. When the project finishes, we will have no future left. Wilmar wants to render us useless in life. But we will not accept this."The citizens of Ibogo are right to be worried about their future. At other plantations that had already been developed, the consequences have been disastrous.In the nearby village of Betem, the water supply was severely damaged and polluted by PZ Wilmar's operations. The alternative borehole that PZ Wilmar supplied is not functioning and the company has not dropped by to repair it. Even for the brief spell where it worked, the water quality was poor, a thick brown liquid that was a major source of illness in the community.Meanwhile down the road, the leader of the village of Idoma, Chief Steven Omari complained: "As a consequence of the Wilmar project, our forest has been seriously degraded. Our timber has been destroyed and they have yet to compensate us. People who were farming in that area lost their land and they have yet to be compensated."PZ Wilmar has provided jobs to some in the community, but these are volatile, contract-free positions as day labourers - a far cry from the work of operating small-scale farms of their own. With no occupational training offered, it is difficult to see a way out for many.Legal challenge and community actionCases like these - of environmental destruction, and human rights violations - formed the basis of a federal lawsuit from the Nigeria-based NGO Rainforest Resource &amp; Development Centre in 2013. After a lengthy delay, the case will hopefully be heard in June 2015.There are also calls to to charge PZ Wilmar with contempt of court, because it continues to operate, whereas legally they should have stopped their operations during the trial. But while the legal process rumbles on, communities in Nigeria are organising.ERA / Friends of the Earth Nigeria recently set up a volunteer-run community forest watch programme, which unites 13 communities affected by Wilmar's plantations, provides training to these communities and develops joint strategies to protect the forest and people's livelihoods.These responses to Wilmar's land grabbing at the local level are a powerful reminder of the potency of community action.Financiers and international community must share responsibilityNigeria is not an isolated case for Wilmar - and they are not solely accountable. The chain of responsibility stretches back to those that finance their operations. Friends of the Earth groups in Europe and the US have regularly brought the case to the attention of Wilmar International and its European and US financiers.We have also reported on how Wilmar's land grabbing in Uganda has been financed by the United Nations agency IFAD, the International Fund for Agricultural Development. In 2010 IFAD backed an oil palm project partly owned and operated by Wilmar on Bugula Island, Lake Victoria, with a $52 million loan. But it refused to comment when asked about the 3,600 hectares of pristine forest it had destroyed, and the hundreds of farmers left destitute after their land was grabbed.The continued inaction further proves that we cannot rely on self-regulation by either companies or financiers for genuine action. Wilmar has not changed its ways of working - it is high time to bring the company to account for its human rights violations, ameliorate its environmental impacts and pay compensation to the hundreds of victims facing eviction and dispossession.It is also essential that governments, financiers and UN agencies do not wait for Wilmar and others like it to improve their practices. Binding human rights and environmental rules for companies and their financiers must be established at the national and international levels.In June 2014 the UN Human Rights Council put in place the first steps towards setting binding international human rights regulations for transnational corporations like Wilmar.Friends of the Earth Europe, together with many other groups, is campaigning to ensure the UN adopts a proposal which would increase access to justice for local communities and affected people in Nigeria and around the world.</t>
  </si>
  <si>
    <t>0.624983</t>
  </si>
  <si>
    <t>0.099737</t>
  </si>
  <si>
    <t>0.159249</t>
  </si>
  <si>
    <t>0.523444</t>
  </si>
  <si>
    <t>Indonesia’s climate commitments;potential future deforestation;APP’s contribution;conflict;</t>
  </si>
  <si>
    <t xml:space="preserve"> In addition to the concerns about potential future deforestation, the NGOs highlighted APP’s contribution in jeopardizing Indonesia’s climate commitments by having more than 60 per cent of its huge land bank on peatland; In addition to the concerns about potential future deforestation, the NGOs highlighted APP’s contribution in jeopardizing Indonesia’s climate commitments by having more than 60 per cent of its huge land bank on peatland; In addition to the concerns about potential future deforestation, the NGOs highlighted APP’s contribution in jeopardizing Indonesia’s climate commitments by having more than 60 per cent of its huge land bank on peatland; After decades of destroying the environment and causing conflict with local communities, APP is urged to take these concerns seriously and start acting;</t>
  </si>
  <si>
    <t>NGOs urge APP to stop using drained peatlands for pulpwood plantations.In a joint statement released today, international and Indonesian NGOs including WWF-Indonesia as part of the Eyes on the Forest coalition* urged Asia Pulp &amp; Paper (APP) to stop using drained peatlands for pulpwood plantations and to restore degraded areas.APP’s new US$3 billion mega-scale mill in Ogan Komering Ilir (OKI), South Sumatra, caused outrage among NGOs in April 2016, when a report revealed that APP would not be able to source the required wood for all its mills in Sumatra without breaking its own zero-deforestation commitment. Up to this date, APP has not shown independent proof to counter these concerns, but instead started production at the mill on December 23, 2016. In addition to the concerns about potential future deforestation, the NGOs highlighted APP’s contribution in jeopardizing Indonesia’s climate commitments by having more than 60 per cent of its huge land bank on peatland. Plantation development on peatland causes extremely high carbon emissions, especially through catastrophic fires. According to a soon-to-be released analysis by Eyes on the Forest, 43 per cent of APP's land bank are in areas that Indonesia’s government has marked for restoration, posing huge challenges for the company to comply and secure wood supplies for its pulp mills. After decades of destroying the environment and causing conflict with local communities, APP is urged to take these concerns seriously and start acting. A credible first step would be a time-bound commitment to create buffer zones of restored forest around remaining natural peat forest areas, and the development of alternative forestry practices on rewetted peatlands with local tree species adapted to peat swamp conditions.</t>
  </si>
  <si>
    <t>0.59669</t>
  </si>
  <si>
    <t>0.050431</t>
  </si>
  <si>
    <t>0.132704</t>
  </si>
  <si>
    <t>0.49825</t>
  </si>
  <si>
    <t>Sustainable Palm Oil;latest palm oil user;environmental destruction;palm oil buyers;</t>
  </si>
  <si>
    <t>The global agribusiness Bunge is the latest palm oil user to sanction IOI Group, the Malaysian producer that lost its Roundtable on Sustainable Palm Oil (RSPO) certification in March over environmental destruction in Indonesia;The global agribusiness Bunge is the latest palm oil user to sanction IOI Group, the Malaysian producer that lost its Roundtable on Sustainable Palm Oil (RSPO) certification in March over environmental destruction in Indonesia;The global agribusiness Bunge is the latest palm oil user to sanction IOI Group, the Malaysian producer that lost its Roundtable on Sustainable Palm Oil (RSPO) certification in March over environmental destruction in Indonesia;Unilever, Hershey’s, Colgate-Palmolive, Johnson &amp; Johnson, Procter &amp; Gamble, SC Johnson, Yum! Brands and Reckitt Benckiser are some of the palm oil buyers that have already moved to disengage with IOI;</t>
  </si>
  <si>
    <t>In March, IOI lost its sustainability certification from the world’s largest association for ethical palm oil production over allegations of environmental destruction in its Indonesian operations.Since then, a number of IOI’s customers have moved to disengage with the supplier.Among Bunge’s demands is for IOI to issue a more detailed sourcing policy.The global agribusiness Bunge is the latest palm oil user to sanction IOI Group, the Malaysian producer that lost its Roundtable on Sustainable Palm Oil (RSPO) certification in March over environmental destruction in Indonesia.Bunge said on Sunday it would not enter into any new purchase contracts with IOI or its affiliates until the Kuala Lumpur-based plantations giant took a number of steps to clean up its operations. IOI is alleged to have cleared rainforest in the Indonesian part of Borneo island without a permit, damaged carbon-rich deep peatlands there and used fire to clear land for planting, all of which is illegal in Indonesia.Bunge wants IOI, which has promised to stop deforesting, to adopt the accepted working definition for what a “high carbon stock” forest is, launch a public dashboard through which customers and the public can easily access critical information, and address the grievances that have been lodged against it.The U.S.-headquartered food company also asked IOI to issue an a more detailed sourcing policy with clear deliverables and timelines. While many of the biggest palm oil producers have publicly committed to eliminate deforestation, peatlands conversion and human rights abuses from their supply chains, the pledges are often vague, and no major firm can show it has actually achieved its goal. IOI is no exception. “We will continue to engage with IOI to provide input, assess progress and discuss broader issues related to sustainable sourcing and Bunge’s requirements and plans,” Bunge said in a statement.Unilever, Hershey’s, Colgate-Palmolive, Johnson &amp; Johnson, Procter &amp; Gamble, SC Johnson, Yum! Brands and Reckitt Benckiser are some of the palm oil buyers that have already moved to disengage with IOI. Some are cutting it off immediately, others are phasing out existing supplies and others are suspending any future purchases.</t>
  </si>
  <si>
    <t>0.524063</t>
  </si>
  <si>
    <t>0.068328</t>
  </si>
  <si>
    <t>0.177778</t>
  </si>
  <si>
    <t>0.465383</t>
  </si>
  <si>
    <t>Doritos</t>
  </si>
  <si>
    <t>palm oil;palm oil;palm oil;palm oil;</t>
  </si>
  <si>
    <t>Your favourite packet of chips or muesli bar snack could contain palm oil – a $65 billion industry which is destroying rainforests and threatening the survival of orangutan populations;For example, Doritos contain “vegetable oil” and Colgate toothpaste has “glycerin” – both of which are terms commonly used to describe palm oil content in ingredient lists;PepsiCo, Kellogg’s, Ferrero (which makes Nutella), Kraft Heinz, Johnson &amp; Johnson, Hershey, PZ Cussons and Smucker’s remain secretive about their sourcing of palm oil;The environmental concerns lie with brands buying palm oil from companies destroying rainforests, home to an array of wildlife;</t>
  </si>
  <si>
    <t>Your favourite packet of chips or muesli bar snack could contain palm oil – a $65 billion industry which is destroying rainforests and threatening the survival of orangutan populations.But it is impossible for consumers to know for certain because popular brands such as PepsiCo (Doritos, Twisties) and Kellogg’s (Cornflakes, Nutri Grain) have refused to reveal to The New Daily which of their products contain palm oil.Environmental advocacy body Greenpeace released a report this week revealing that half of 16 companies that pledged in 2010 to eliminate deforestation from palm oil by 2020 had failed to disclose where they source their palm oil almost 10 years later.Companies are also avoiding listing “palm oil” explicitly in their product ingredients, instead masking it by using other vague terms.For example, Doritos contain “vegetable oil” and Colgate toothpaste has “glycerin” – both of which are terms commonly used to describe palm oil content in ingredient lists.PepsiCo, Kellogg’s, Ferrero (which makes Nutella), Kraft Heinz, Johnson &amp; Johnson, Hershey, PZ Cussons and Smucker’s remain secretive about their sourcing of palm oil.The environmental concerns lie with brands buying palm oil from companies destroying rainforests, home to an array of wildlife.Indonesia lost 24 million hectares of rainforest between 1990 and 2015 – equivalent to 146 football fields worth of rainforest destroyed every hour between 2013 and 2015, according to the report.The Bornean orangutan population has halved since 1999, while a new species of orangutan discovered in Sumatra last year is already endangered.PepsiCo said some of its snack products are cooked in palm oil that is 100 per cent certified by the Roundtable on Sustainable Palm Oil (RSPO).“In Australia, we primarily use sunflower and/or canola oil for cooking our snacks,” a spokeswoman said.“Our entire Smith’s potato chip range has been cooked in sunflower and/or canola oil for a number of years.”Ferrero said it was the first global company in 2015 to source 100 per cent RSPO-certified palm oil. It told The New Daily it was committed to publicly disclosing the full list of mills it sources by May 15. Kellogg’s Australia’s Derek Lau said it was committed to working with all its suppliers to source sustainable and fully traceable palm oil.orangutansOrangutan populations are threatened by the palm oil industry. Photo: GreenpeaceMeanwhile, eight companies have come clean about where they buy palm oil from.Nestlé (Kit Kat), Unilever (Ben &amp; Jerry’s), Mars (M&amp;M’s), Mondelēz (Cadbury), Colgate-Palmolive, General Mills (Betty Crocker cake mix), Procter &amp; Gamble and Reckitt Benckiser each released details around their palm oil sourcing to provide greater public transparency.But when contacted by The New Daily, the companies still remained tight-lipped about which of their products contained palm oil.Nestle said it used palm oil in “a number of products”, mainly as a cooking oil in its food items. It purchased 420,000 tonnes of palm oil globally in 2016.</t>
  </si>
  <si>
    <t>0.023482</t>
  </si>
  <si>
    <t>0.001275</t>
  </si>
  <si>
    <t>0.067729</t>
  </si>
  <si>
    <t>0.265125</t>
  </si>
  <si>
    <t>supplier of palm oil;large scale deforestation;further deforestation;Greenpeace investigation claims palm oil supplier;</t>
  </si>
  <si>
    <t xml:space="preserve"> A supplier of palm oil with links to major brands including Unilever, Nestle, PepsiCo and Mars, has been destroying rainforests in a protected area of Papua, Indonesia, a Greenpeace investigation claims; Global appetites for the commodity have been associated with large scale deforestation in areas including Indonesia and Malaysia;Greenpeace investigation claims palm oil supplier to major brands behind further deforestation;Greenpeace investigation claims palm oil supplier to major brands behind further deforestation;</t>
  </si>
  <si>
    <t>Greenpeace investigation claims palm oil supplier to major brands behind further deforestation. A supplier of palm oil with links to major brands including Unilever, Nestle, PepsiCo and Mars, has been destroying rainforests in a protected area of Papua, Indonesia, a Greenpeace investigation claims.Palm oil is a vegetable oil found in a wide variety of consumer goods. Global appetites for the commodity have been associated with large scale deforestation in areas including Indonesia and Malaysia.Video and images gathered by the environmental campaign group’s helicopter appear to show the clearance of 4,000 hectares of rainforest within the PT Megakarya Jaya Raya concession between May 2015 and April 2017.</t>
  </si>
  <si>
    <t>0.410161</t>
  </si>
  <si>
    <t>0.071508</t>
  </si>
  <si>
    <t>0.124201</t>
  </si>
  <si>
    <t>0.100545</t>
  </si>
  <si>
    <t>0.475343</t>
  </si>
  <si>
    <t>0.4997055</t>
  </si>
  <si>
    <t>Indofood</t>
  </si>
  <si>
    <t>Sustainable Palm Oil;rainforest destruction;rainforest destruction;</t>
  </si>
  <si>
    <t>No more RSPO certification = no more excuses: it’s time to cut ties with Indofood!Indofood is guilty of worker exploitation, rainforest destruction, and habitat loss and the Roundtable on Sustainable Palm Oil (RSPO) has terminated its sustainability certification;No more RSPO certification = no more excuses: it’s time to cut ties with Indofood!Indofood is guilty of worker exploitation, rainforest destruction, and habitat loss and the Roundtable on Sustainable Palm Oil (RSPO) has terminated its sustainability certification; Indofood is guilty of worker exploitation, rainforest destruction and habitat loss, and now it has no “sustainability” claims to hide behind;</t>
  </si>
  <si>
    <t>No more RSPO certification = no more excuses: it’s time to cut ties with Indofood!Indofood is guilty of worker exploitation, rainforest destruction, and habitat loss and the Roundtable on Sustainable Palm Oil (RSPO) has terminated its sustainability certification.¹That’s bad news for Indofood’s business partners and lenders PepsiCo, Yum! Brands, Citigroup, Mizuho, Mitsubishi UFJ (MUFG), SMBC Group, Rabobank and Standard Chartered. They can't pretend that Indofood is sustainable.It’s time to let these companies know: we seeeee you! Call on these buyers and banks to STOP doing business with Indofood until it cleans up its act.Indofood’s track record keeps getting worse and worse. In the latest turn of events, the Roundtable on Sustainable Palm Oil (RSPO) terminated Indofood’s sustainability certificates and membership. Indofood is guilty of worker exploitation, rainforest destruction and habitat loss, and now it has no “sustainability” claims to hide behind.It is far past time that your company end all business relationships with this bad actor until it cleans up its act.Other companies — including Musim Mas, Cargill, Fuji Oil, Hershey’s, Kellogg’s, General Mills, Unilever, and Mars — have cut Indofood from their supply chains. Joint venture partners Nestlé and Wilmar have ended their relationship with Indofood, and banks like BNP Paribas stopped financing the company's palm oil operations.You must act immediately — cut all ties to Indofood and send a clear market signal that the company must change. There is no time for more delays. End all business with Indofood until it stops exploiting workers and destroying forests.</t>
  </si>
  <si>
    <t>0.602508</t>
  </si>
  <si>
    <t>0.082639</t>
  </si>
  <si>
    <t>0.574596</t>
  </si>
  <si>
    <t>0.108965</t>
  </si>
  <si>
    <t>RSPO</t>
  </si>
  <si>
    <t>Indofood’s human rights abuses;labor abuses;rainforest destruction;</t>
  </si>
  <si>
    <t>We’ve proven Indofood’s human rights abuses and rainforest destruction;Indofood’s announcement that it will withdraw the RSPO membership of its subsidiary London Sumatra rather than address its labor abuses is a dangerous precedent that you cannot allow;We’ve proven Indofood’s human rights abuses and rainforest destruction;</t>
  </si>
  <si>
    <t>We’ve proven Indofood’s human rights abuses and rainforest destruction. Now it’s time to hold the company accountable. The Roundtable on Sustainable Palm Oil (RSPO) is the world’s largest certification system for “sustainable” palm oil, and it’s far past time for the RSPO to suspend Indofood. Take action now:  We demand that the RSPO send the clearest message to Indofood and any other company that destroys with one hand as they sell palm oil with the other: clean up your act or you’re out. Indonesian food manufacturing company and palm oil giant Indofood continues to evade its responsibilities to uphold RSPO standards and address the worker exploitation on its plantations. It is far past time that you expel this bad actor from your certification system.Indofood’s announcement that it will withdraw the RSPO membership of its subsidiary London Sumatra rather than address its labor abuses is a dangerous precedent that you cannot allow.You must act immediately and suspend the membership and certification for all of Indofood, including both subsidiaries London Sumatra and Salim Ivomas. Failure to expel Indofood will send a clear signal that the RSPO is incapable of managing bad actors and is therefore not a credible certification system.There is no time for more delays — suspend all of Indofood's "sustainability" certifications until it stops abuses of workers' rights.</t>
  </si>
  <si>
    <t>0.552758</t>
  </si>
  <si>
    <t>0.150135</t>
  </si>
  <si>
    <t>0.558574</t>
  </si>
  <si>
    <t>0.439418</t>
  </si>
  <si>
    <t>palm oil trader Wilmar;deforestation;community conflicts;</t>
  </si>
  <si>
    <t>Greenpeace says palm oil trader Wilmar still buys from Indonesian suppliers involved in worker exploitation, community conflicts, deforestation;Greenpeace says palm oil trader Wilmar still buys from Indonesian suppliers involved in worker exploitation, community conflicts, deforestation;Greenpeace says palm oil trader Wilmar still buys from Indonesian suppliers involved in worker exploitation, community conflicts, deforestation;</t>
  </si>
  <si>
    <t>Greenpeace says palm oil trader Wilmar still buys from Indonesian suppliers involved in worker exploitation, community conflicts, deforestation</t>
  </si>
  <si>
    <t>0.338486</t>
  </si>
  <si>
    <t>0.202098</t>
  </si>
  <si>
    <t>0.465839</t>
  </si>
  <si>
    <t>0.119759</t>
  </si>
  <si>
    <t>Undercurrent News</t>
  </si>
  <si>
    <t>companies;companies;</t>
  </si>
  <si>
    <t>The civil lawsuit, brought in California federal court by seven Cambodians employed outside the US, accused the four companies of violating the US Trafficking Victims Protection Act and knowingly profiting from the villagers' working conditions;Among other complaints in the filing, the defendants also argue that the accusation that two US-based companies should be held accountable because they knowingly benefitted from alleged human trafficking is vague and can be applied to virtually any US company;</t>
  </si>
  <si>
    <t>A lawsuit against two US and two Thai firms that allegedly engaged in human trafficking as they supplied shrimp to retailers including Walmart can proceed to trial, a judge ruled.The civil lawsuit, brought in California federal court by seven Cambodians employed outside the US, accused the four companies of violating the US Trafficking Victims Protection Act and knowingly profiting from the villagers' working conditions.In August, the four companies -- US-based importers Rubicon Resources and Wales &amp; Co. Universe, and Thai seafood companies Phatthana Seafood Co. Ltd. and S.S. Frozen Food Co. Ltd. – filed amotion in mid-August to dismiss the case arguing that because the alleged conduct took place outside the US, the matter shouldn't be heard in a US court.Walmart, while referenced in a press release describing the matter, is not named in the lawsuit as defendant.In a ruling released Nov. 10, Judge John Walter said that the court has sufficient jurisdiction to proceed, ruling against the defendants' motion to dismiss.In a press release following the ruling, Agnieszka Fryszman, an attorney who is representing the plaintiffs pro bono, wrote in a statement to Undercurrent News that her clients "had nothing to show for their hard labor and their families were poorer than before” when they returned home after their employment. “Fortunately, in the Trafficking Victim’s Protection Act, Congress gave trafficked workers the tools they need to obtain justice when companies knowingly profit from forced labor in their supply chains. We are pleased that these claims can go forward in a U.S. court and we look forward to proving our case at trial,” she said.Attorney Charles Kreindler, whose firm represents all four defendants, told Undercurrent that he was pleased with an aspect of the judge's ruling that dismiss the plaintiff's claims based on another law, the Alien Tort Statute.He added that this stage of the proceeding focused on the laws and not the facts, scrutiny of which will come later."While the court at this early stage of the proceeding allowed plaintiffs to move forward with certain other claims, that ruling was based on the court accepting each and every allegation made by the plaintiffs as true," he said. "We are confident that we will show the court at a later date that the remaining claims are legally and factually unfounded and believe that the case will not go to trial. Of course, we will continue to vigorously defend against these false allegations."According to the lawsuit, the Cambodian plaintiffs were allegedly recruited from their villages and employed by the defendants outside the US, chiefly in Thailand.The suit states that the Cambodian villagers paid high recruitment fees but at the Thai factory were "paid less than promised and that their already meager wages would be further reduced by unexpected salary deductions for housing, fees, and other charges."The defendants asserted that “the conduct complained of occurred outside the US and the complaint does not allege a basis for extraterritorial jurisdiction”.Lawyers representing the Cambodian villagers argue that the defendants’ basis for dismissal is incorrect.Among other arguments laid out in the the response, the plaintiffs said that the defendants' failed to take into account changes that had been made to the Trafficking Victims Protection Act in 2008.According to the filing, in 2008 the US Congress amended the act to "include accountability over the entire trafficking chain, including those at the top who financially benefit and those whose conduct occurs overseas".The case, they said, relied "almost exclusively on a case law that predates the key 2008 amendments to the [Trafficking Victims Protection Act] and repeatedly misread the current statute, ignoring the relevant provisions enacted in 2008 that underpin the plaintiff's claims".The Cambodians' lawyers said that "there was no extraterritorial jurisdiction provision at all [in the other case]...Congress amended the [Trafficking Victims Protection Act] in 2008 to expressly provide for extraterritorial jurisdiction over certain trafficking offenses, including the violations alleged here".In response to the plaintiff's allegations, the defendants filed a reply on Oct. 14 agreeing that "Congress certainly has the authority to enact criminal laws with extraterritorial reach", but added that it "did not intend to allow private plaintiffs to take advantage of extraterritorial jurisdiction to seek to impose global labor standards on foreign companies".The defendants argued that the "extraterritorial reach of the [Trafficking Victims Protection Act] extends only to criminal actions brought by the federal government, and not to private plaintiffs".Among other complaints in the filing, the defendants also argue that the accusation that two US-based companies should be held accountable because they knowingly benefitted from alleged human trafficking is vague and can be applied to virtually any US company."Plaintiffs ask this court to construe the [Trafficking Victims Protection Act] to impose liability on any US company that “benefits” from doing business with foreign companies in parts of the world that have arguably suspect labor practices. If plaintiffs are right, then the litigation floodgates would open, since virtually every US company benefits from international commerce," the filing said.</t>
  </si>
  <si>
    <t>0.537192</t>
  </si>
  <si>
    <t>0.198128</t>
  </si>
  <si>
    <t>0.543923</t>
  </si>
  <si>
    <t>0.515074</t>
  </si>
  <si>
    <t>petition claims;petition;</t>
  </si>
  <si>
    <t xml:space="preserve"> The petition claims that Unilever’s failed trial remediation of the environment in November 2017 ended up mobilising more mercury into the environment that it recovered, because it deployed a substandard process; The petition claims that Unilever’s failed trial remediation of the environment in November 2017 ended up mobilising more mercury into the environment that it recovered, because it deployed a substandard process;</t>
  </si>
  <si>
    <t>Back in 2015, rapper Sofia Ashraf’s protest music video Kodaikanal Won’t put the spotlight on mercury contamination at a Unilever plant in Kodaikanal, Tamil Nadu. The next year, the company agreed to a settlement with almost 600 former workers who had been exposed to toxic mercury vapour at the now-closed thermometer factory.It’s been a couple of years since then, but Kodaikanal Still Won’t. Ashraf is back with a sequel (video above), accompanied by Carnatic vocalist TM Krishna and indie rock musician Amrit Rao to belt out a catchy number that fuses Carnatic, rap and Tamil Gaana Kuthu genres. The music video aims to bring attention to a petition filed by Chennai-based activists targeting Unilever’s CEO Paul Polman. The petition claims that Unilever’s failed trial remediation of the environment in November 2017 ended up mobilising more mercury into the environment that it recovered, because it deployed a substandard process. The activists allege that the company’s proposed clean-up will leave behind 20 times more mercury in Kodaikanal’s soil than is considered safe for residential areas in the United Kingdom, and 66 times more than levels considered safe in the Netherlands.“Such a shoddy clean-up will never be permitted in Europe,” said Chennai-based social activist Nityanand Jayaraman in a press release. “Unilever’s refusal to apply the best standards for India reeks of environmental racism.”According to the press release, “environmental racism is when environmental harm is disproportionately apportioned to marginalised communities, and when the agencies or parties discriminate by deploying environmentally substandard practices when operating among such communities.”Ashraf, Krishna and the director of the video Rathindran R Prasad plan to travel to the Netherlands and UK later this year to collaborate with musicians there to bring attention to the company’s actions.</t>
  </si>
  <si>
    <t>0.183145</t>
  </si>
  <si>
    <t>0.119952</t>
  </si>
  <si>
    <t>0.150079</t>
  </si>
  <si>
    <t>0.509525</t>
  </si>
  <si>
    <t>palm oil;palm oil;</t>
  </si>
  <si>
    <t xml:space="preserve"> The refinery, which is on the Indonesian island of Sulawesi, was processing palm oil from major producers that are destroying rainforests in Kalimantan and Papua, Indonesia; The plantation sector - palm oil and pulp - is the single largest driver of deforestation in Indonesia;</t>
  </si>
  <si>
    <t>For twelve hours thirty Greenpeace volunteers occupied a palm oil refinery belonging to Wilmar International, the world’s largest palm oil trader.Wilmar supplies major brands including Colgate, Mondelez, Nestlé and Unilever. The refinery, which is on the Indonesian island of Sulawesi, was processing palm oil from major producers that are destroying rainforests in Kalimantan and Papua, Indonesia. False promisesKiki Taufik, head of Greenpeace’s global Indonesia forests campaign said: "Wilmar has been promising to clean up its supply chain since 2013. Yet it is still buying palm oil from forest destroyers."It is not Greenpeace’s responsibility to police their supply chain. Wilmar should only buy palm oil from producers it can prove are clean. That is what Wilmar CEO Kuok Khoon Hong promised almost five years ago." The Greenpeace team includes volunteers and climbers from Indonesia, Malaysia, the Philippines, Thailand, the UK, France and Australia. One group of  activists climbed the anchor chain of a tanker ship transporting palm oil and are preventing it from moving. Another group scaled the refinery and painted “DIRTY” in five-metre high letters on the storage tanks. Severe deforestationIn 2013, Wilmar became the first palm oil trader to adopt a ‘no deforestation, no peat, no exploitation’ policy. But last week, a Greenpeace International investigation revealed that 25 palm oil producers had cleared 130,000ha of rainforest since 2015. Wilmar was buying from 18 of those palm oil groups; three supplied the refinery where the protest is taking place. Only a fraction of the palm oil that Wilmar trades comes from its own plantations; more than 80 percent comes from other palm oil producers. Dal Payne, a climber from the UK taking part in the action said: “This refinery is loaded with Wilmar’s dirty palm oil and if we weren’t here it would be on its way to supermarkets all over the world. Hundreds of thousands of consumers have had enough of forest destruction. "The message to brands like Unilever, Nestlé and Mondelez is simple: cut Wilmar off until it breaks all links with forest destroyers.”Forest destroyersGreenpeace is calling on Wilmar to prove that it no longer sources palm oil from forest destroyers. The first step is to requiring all producer groups in its supply chain to publish mill location data and concession maps for their entire operations and to cut off any that refuse. Wilmar International and other palm oil groups are regularly accused of exploiting workers, children and local communities. The plantation sector - palm oil and pulp - is the single largest driver of deforestation in Indonesia. Around 24 million hectares of rainforest was destroyed in Indonesia between 1990 and 2015, according to official figures released by the Indonesian government. Deforestation and peatland destruction are major sources of greenhouse gas emissions which contribute to climate change. This has pushed Indonesia into the top tier of global emitters, alongside the United States of America and China.Plantation development is a root cause of Indonesia’s forest and peatland fires. In July 2015, devastating blazes spread in Sumatra, Kalimantan and Papua. These fires produced a haze that affected millions of people across Southeast Asia.Researchers at Harvard and Columbia Universities estimate that the smoke from 2015 Indonesian fires may have caused 100,000 premature deaths. The World Bank calculated the cost of the disaster at 16 billion US dollars.</t>
  </si>
  <si>
    <t>0.497999</t>
  </si>
  <si>
    <t>0.13403</t>
  </si>
  <si>
    <t>0.184624</t>
  </si>
  <si>
    <t>0.520367</t>
  </si>
  <si>
    <t>IOI</t>
  </si>
  <si>
    <t>formal complaint;allegations of deforestation;</t>
  </si>
  <si>
    <t>IOI has long been the target of environmentalists, who have previously accused it of felling forests and draining peatlands in Malaysian Borneo, while allegations of deforestation in IOI concessions in Ketapang, West Kalimantan, were submitted in a formal complaint to the RSPO by a sustainability consultancy in 2015;IOI has long been the target of environmentalists, who have previously accused it of felling forests and draining peatlands in Malaysian Borneo, while allegations of deforestation in IOI concessions in Ketapang, West Kalimantan, were submitted in a formal complaint to the RSPO by a sustainability consultancy in 2015;</t>
  </si>
  <si>
    <t>One of the world’s largest palm oil producers is suing the green body that suspended its sustainability certification last month because of allegations it had deforested Indonesian rainforests.The Roundtable for Sustainable Palm Oil (RSPO), a body set up by industry and NGOs to address environmental concerns about the commodity’s production, confirmed it had been served with a lawsuit by the Malaysian palm giant, IOI.IOI was suspended by the RSPO in early April after the allegations of wrongdoing, leading major buyers including Unilever, Mars, Kelloggs and Nestle to cut back on the palm oil they buy from the company.Palm oil is the most widely-used vegetable oil and found in everything from margarine and biscuits to soap and shampoo. IOI owns Europe’s largest palm oil refinery and is such a major player that the RSPO warned of a disruption to supplies of sustainable palm oil following the suspension. “The decision to challenge the RSPO board’s suspension decision is a difficult and painful one for us to take,” said Dato’ Lee Yeow Chor, IOI’s CEO, of the suit filed in Zurich, Switzerland, where the roundtable has its seat. IOI is understood to claim it did no wrong and the RSPO had no right to suspend its sustainability certification.In a statement, Dato’ Lee said that while the company was committed to the RSPO, it had been “unfairly affected” by the suspension.IOI has long been the target of environmentalists, who have previously accused it of felling forests and draining peatlands in Malaysian Borneo, while allegations of deforestation in IOI concessions in Ketapang, West Kalimantan, were submitted in a formal complaint to the RSPO by a sustainability consultancy in 2015.The scale of the financial impact on IOI from lost contracts following the suspension is not yet clear. But internal communications from Datuk Darrel Webber, CEO of the RSPO, show that the palm oil producer told him: “IOI has suffered commercial and reputational losses as a result of this injustice.”Webber also reveals that “IOI prefers if this legal action is kept low profile” and that he is concerned over “the amount of time and money that will be wasted in this process [defending the legal challenge].”In the communications, Darrel Webber says that the roundtable is insured against such claims up to 10m Malaysian Ringgit (£1.72m).Richard George, head of forests at Greenpeace UK, said: “No one should be surprised that IOI has chosen to bully its critics. The RSPO and its members must meet this intimidation head on by excluding IOI until it has cleaned up its act and repaired the forests and peatlands it has destroyed.”Malaysian and Indonesian companies dominate global palm oil production, but have been linked to deforestation and slash-and-burn clearance methods that contributed to the . Wilmar International, Golden Agri Resources (GAR), Asian Agri and Cargill are among .In a statement, IOI’s Dato’ Lee Yeow Chor said: “IOI remains committed to its membership in and the sustainability principles of RSPO. In fact, IOI has gone beyond the requirements of RSPO by signing an industry manifesto which specifies no HCS [high carbon stock] deforestation, no planting on peat and driving positive socio-economic impact for people and the communities.”A spokeswoman for Nestle said that following the suspension by RSPO: “we immediately ceased sourcing from the plantations at the centre of the concerns raised.”</t>
  </si>
  <si>
    <t>0.6394</t>
  </si>
  <si>
    <t>0.100995</t>
  </si>
  <si>
    <t>0.220411</t>
  </si>
  <si>
    <t>0.497359</t>
  </si>
  <si>
    <t>Pirelli</t>
  </si>
  <si>
    <t>deforestation;deforestation;</t>
  </si>
  <si>
    <t>How business can tackle deforestationKeep targets on track, manage expectations and demonstrate progress18th-19th April 2018, Washington DCA two-day conference on the big challenges in tackling deforestation, and the solutions that will scale; The objective is to genuinely drive forward discussion and progress in removing deforestation from company supply chains;</t>
  </si>
  <si>
    <t>How business can tackle deforestationKeep targets on track, manage expectations and demonstrate progress18th-19th April 2018, Washington DCA two-day conference on the big challenges in tackling deforestation, and the solutions that will scale. Researched and organized by Innovation Forum, held in collaboration with The Nature ConservancyBuilding on the themes of recent IF meetings in London and Jakarta, this forum will bring together a range of key stakeholders to discuss the most pressing issues faced by business. The objective is to genuinely drive forward discussion and progress in removing deforestation from company supply chains.A key theme to this year's discussion will be the likelihood that most companies will miss 2020 targets. We'll take a realistic look at where and why this is happening, whilst debating what should happen next. By bringing together a broad range of businesses, key NGOs, government and finance, the conference presents the multi-stakeholder dialogue that is required to tackle these extensive issues. The 2018 agenda will address the big issues, including:Big companies will miss 2020 zero deforestation targets, so what happens next? A pragmatic discussion around how brands can respond and report on missed targets - and the future role of NGOs Forests in climate deals: What the inclusion of forests as part of international agreements on climate change means for business in 2018 and beyondBig banks and deforestation: From policy to implementation – hear what banks are (and aren’t) doing to help stop deforestationYour company’s deforestation strategy:Jurisdictional programs: The role of companies in overcoming implementation challenges when scaling effortsProcurement behaviour: What are the right policies, programs and strategies for your purchasing colleagues to tackle deforestationForest certification: Certification alone is not effective enough. So, what else is needed and what proportion of your time should certification take up?Forest restoration: Above and beyond, or a crucial aspect of responsible business? Explore the business case and benefits of scaling restoration effortsIn-depth, informative case studies:Sustainable rubber: Pirelli’s journey in facilitating transformation of the global rubber market and tire supply chainThe Cocoa and Forests Initiative: What is the outlook, opportunities and challenges in the implementation journey?Natural capital: Opportunities and challenges in restoring natural forest capital for the US as the world’s largest wood producing and consuming nationPre-competitive collaboration: Case studies of companies successfully overcoming competitive barriers in pushing toward a common goal</t>
  </si>
  <si>
    <t>0.202078</t>
  </si>
  <si>
    <t>0.076367</t>
  </si>
  <si>
    <t>0.085327</t>
  </si>
  <si>
    <t>0.495155</t>
  </si>
  <si>
    <t>human rights abuses;</t>
  </si>
  <si>
    <t xml:space="preserve"> Green groups have also reported labour and human rights abuses on IOI Group-owned plantations;</t>
  </si>
  <si>
    <t>IOI Group has been dealt a new blow as a group of non-government organisations (NGOs) on Thursday called for a mass boycott of the company, following its move to sue the Roundtable on Sustainable Palm Oil (RSPO) earlier this week.A coalition of 22 environmental organisations issued an open letter to hundreds of global brands and palm oil traders, urging them to cancel all sourcing contracts and business relationships with the IOI Group and its processing arm, IOI Loders Croklaan.The Malaysian palm oil giant is suing RSPO - the industry association for sustainable palm oil - over RSPO’s decision to suspend IOI Group’s membership from the organisation, and for banning it from selling palm oil that is “certified sustainable”.The suspension was the result of the company’s failure to adequately address several complaints that IOI subsidiaries in Indonesia were flouting RSPO rules on clearing forests and draining peatlands, and also for violating national laws by operating without proper licenses. Green groups have also reported labour and human rights abuses on IOI Group-owned plantations. While IOI is currently taking steps to address these flaws, it says it filed the lawsuit because the extent of punitive action taken by RSPO is too extreme and resulted in “commercial and reputational losses”. Gemma Tillack, agribusiness campaign director for RAN, said the lawsuit is a “drastic decision” by company executives, and shows that IOI Group “is digging in its heels rather than truly trying to solve its serious conflict palm oil problem”. In the letter, green groups added that “it is clear that only economic consequences will compel the IOI Group to take responsibility for cleaning up its act”. Major global consumer firms such as Unilever, Mars, Nestle, and Ferrero have already dropped IOI as a supplier, and those that fail to do the same “are taking a major risk by associating their brand reputation with a supplier known to be connected to conflicts with communities, exploitation of workers and the ongoing clearing and burning of natural forests,” added Tillack. The letter by the NGO coalition - made up of organisations including Transformasi untuk Keadilan Indonesia (TuK INDONESIA), US-based Rainforest Action Network (RAN), Greenpeace, and the Union of Concerned Scientists - also laid out conditions that IOI must meet to put an end to the calls for a boycott.These included dropping the legal case against RSPO, immediately halting all plantation development and expansion until a proper land assessment has identified forest conservation areas, and investing resources into rehabilitating all the peatlands and forest the company has burnt and degraded. The NGOs also pointed to a 2014 report by Finnish civil society organisation Finnwatch outlining labour exploitation and conflict with indigenous communities, and said that IOI must tackle these abuses immediately. Ivy Schlegel, Greenpeace United States spokesperson, said that “whatever IOI was hoping to achieve through this lawsuit has backfired, with even more of its customers now deserting the company”. “Instead of trying to bully its critics, IOI should stop creating the conditions for forest fires by trashing Indonesia’s peatlands”.</t>
  </si>
  <si>
    <t>0.545188</t>
  </si>
  <si>
    <t>0.483989</t>
  </si>
  <si>
    <t>0.48551</t>
  </si>
  <si>
    <t>0.51289</t>
  </si>
  <si>
    <t>tiger habitat destruction;</t>
  </si>
  <si>
    <t>European, Japanese taxpayers unwittingly underwrite continuedforest and tiger habitat destruction;</t>
  </si>
  <si>
    <t xml:space="preserve"> Asia Pulp &amp; Paper (APP) has been accused of a “double default” on international creditors, after an investigation reveals that the company has decimated tropical forests it promised to conserve under “legally binding” debt restructuring agreements.European, Japanese taxpayers unwittingly underwrite continuedforest and tiger habitat destruction. Pekanbaru, Sumatra; Gland, Switzerland: Asia Pulp &amp; Paper (APP) has been accused of a “double default” on international creditors, after an investigation revealed that the company has decimated tropical forests it promised to conserve under “legally binding” debt restructuring agreements.“APP Default on Environmental Covenant,” a new report from Sumatra NGO coalition Eyes on the Forest, shows that the company in 2004 agreed to protect high conservation value forest under debt restructuring agreements it made with taxpayer-backed financial institutions in nine countries. The debt restructuring agreements were negotiated after APP in 2001 defaulted on a massive $US13.9 billion of debt and was delisted by the New York and Singapore stock exchanges.The 2004 agreements covered the restructuring of $6 billion in debt to the taxpayer-backed export credit agencies of Germany, Japan, France, Austria, Sweden, Finland, Italy, Spain and Denmark. Under the agreement, APP – part of the giant Sinar Mas conglomerate - also promised to be fully sustainable by 2007, something it defined as producing all pulp exclusively from plantation wood. The company described the agreements as a “legally binding contractual obligation”. The Eyes on the Forest investigation shows that 2007 was the year APP’s wood suppliers began clearing the very areas of high conservation value forest in central Sumatra’s Pulau Muda that had been highlighted by APP as an example of a new “scientific basis for the sustainable development of our plantations and the management of our conservation areas”.“Despite APP’s praise for the independent mapping of the high conservation value forest in the Pulau Muda rainforest, our analysis of recent satellite imagery shows a third of the identified 34,000 hectares has now been drained and cleared,” said Muslim Rasyid, co-ordinator of Jikalahari (Forest Rescue Network Raiu), a member of Eyes on the Forest.Much of this clearing was legally questionable on other grounds, being on peat of more than four metres deep which when drained gives off colossal carbon emissions.Promises cannot be trusted“Even in legally binding agreements with government-backed credit institutions around the world, APP has demonstrated that its promises cannot be trusted,” said Rod Taylor, Director of WWF International’s Forest Programme. “In just the last couple of months, it’s been revealed that APP and affiliates have cleared inside a self-declared tiger sanctuary, that the company has made claims about sustainability certifications that its certifiers reject, and that protected timber species are present in supplies to its pulp mills.”APP has missed self-imposed deadlines of 2004, 2007, and 2009 of supplying its pulp mills exclusively from renewable plantation wood. An announcement it would finally fulfil this promise by 2015 was recently amended to a new deadline of 2020 – when there is a risk there will be little forest left in Sumatra. Eyes on the Forest calls on the ECAs and other investors to not finance APP’s plans to expand existing or open new pulp and paper mills in Indonesia, in China and around the world.“WWF urges taxpayers to tell their export credit agencies to stop supporting the destruction of Sumatran and other tropical forests and driving elephants, tigers and orang-utans to local extinction,” said Nazir Foead, Conservation Director WWF-Indonesia.”This is a company that defaulted on its debts and defaulted on the environmental covenants it agreed to as a condition of restructuring its debts. Any support to its plans to expand risks history repeating itself, with any new pulp mills adding to the over-capacity driving the assault on Sumatra’s natural forests and wildlife.“This is not a business model that should be financed by any prudent financial institution or investor for replication in Borneo, Papua or anywhere else.”</t>
  </si>
  <si>
    <t>0.560118</t>
  </si>
  <si>
    <t>0.060232</t>
  </si>
  <si>
    <t>0.518302</t>
  </si>
  <si>
    <t>0.203697</t>
  </si>
  <si>
    <t>GAR</t>
  </si>
  <si>
    <t>palm oil;</t>
  </si>
  <si>
    <t xml:space="preserve"> “The next step means putting this commitment into practice: GAR must now ensure that all the palm oil it refines and trades is not contributing to deforestation, climate change and social conflicts;</t>
  </si>
  <si>
    <t>Over half the world’s palm oil traded internationally is now bound by zero deforestation commitments after Singapore-based Golden-Agri Resources (GAR) extended its forest conservation policy across all palm oil it produces, sources and trades.In a filing posted Friday Singapore Stock Exchange, GAR announced its breakthrough forest conservation policy — which when established in 2011 was the first by a palm oil major — now applies to all the palm oil it trades.“Golden Agri-Resources (GAR) is committed to no deforestation palm oil in our entire supply chain,” the company told mongabay.com via email. “We are implementing processes to ensure that the palm oil for both our upstream and downstream operations are in line with GAR’s Forest Conservation Policy (FCP).”The stepped-up policy matches the commitment made by Wilmar, the world’s largest palm oil company, last December and means that over half the world’s palm oil is now covered by zero deforestation pledges.“GAR now stands alongside Wilmar in applying FCP to all traded oil,” Scott Poynton, the Executive Director of The Forest Trust (TFT), an NGO that is implementing zero deforestation policies for both companies, told Mongabay. “This will put a lot more pressure on the other dodgy industry players that continue to destroy forests and peatlands for palm oil production.”GAR’s move was welcomed by Greenpeace, which helped spur the original commitment with damaging market-based campaigns in 2009 and 2010.“[This] is a step in the right direction,” wrote Greenpeace in a blog post.“GAR’s announcement to implement an ambitious Forest Conservation Policy for its downstream operations is a sign that the company takes its commitment seriously and is trying to minimize the impact it has on forests,” said Annisa Rahmawati, forest campaigner at Greenpeace Southeast Asia. “The next step means putting this commitment into practice: GAR must now ensure that all the palm oil it refines and trades is not contributing to deforestation, climate change and social conflicts.” GAR says that while expects the extension of its policy to third party suppliers to be a challenge, the decision is a response to “the growing market demand for traceable, deforestation free palm oil” which is increasingly driven by consumer products giants like Unilever, Nestlé, and Kellogg’s.“We are taking steps to achieve traceability that makes business sense,” the company told Mongabay. “Ensuring traceability is more challenging in the downstream business, as compared to the upstream business where more than 90% of the fresh fruit bunches come from our own plantations, and the multi-stakeholder collaboration will be a key for its success.”GAR says success of the policy rests on buy in from communities, which supply the company; the government of Indonesia, where most of GAR’s palm oil is produced; and other industry players, including GAPKI, the Indonesia Palm Oil Association. GAR hopes that at least ten “key growers” in Indonesia and GAPKI will adopt high carbon stock conservation policies by the time the next phase of its commitment is rolled out.To date, GAPKI has bristled at policies that would put any restrictions on Indonesia’s palm oil industry, but now that two of the world’s largest traders have made high profile commitments and the Indonesian government is in its third year of a moratorium on new concessions in peatlands and primary forests, the body is facing unprecedented pressure to set basic standards. The apparent shift comes at a critical time for the industry, which is finally seeing a rally in the price of palm oil after a two-year lull. While macroeconomic factors have driven price fluctuations, the industry is facing growing criticism in some markets over the impact of its expansion on wildlife-rich forests and carbon-dense peatlands. This criticism — often amplified by images of haze blanketing Southeast Asian cities and pictures of endangered orangutans losing their forest homes — has prompted several major buyers to implement safeguards and traceability standards in an effort to avoid palm oil from “controversial” sources.</t>
  </si>
  <si>
    <t>0.44922</t>
  </si>
  <si>
    <t>0.039643</t>
  </si>
  <si>
    <t>0.089918</t>
  </si>
  <si>
    <t>0.62685</t>
  </si>
  <si>
    <t>Wilmar International’s chairman;</t>
  </si>
  <si>
    <t>Wilmar International’s chairman and chief executive Kuok Khoon Hong said in a statement that he felt “compelled” to bolster the company’s sustainability ambitions in light of recent research suggesting that palm oil-led deforestation is rising globally;</t>
  </si>
  <si>
    <t>Palm oil sourcing giant Wilmar International has unveiled plans to use satellite tracking and other digital technologies in a bid to eliminate deforestation risks from its supply chains. The company, which supplies 40% of the world’s palm oil, made a new pledge on Monday (10 December) to ensure that its supply chains are classed as “deforestation-free” by 2020 – a commitment which builds on its 2013 “no deforestation, no peat, no exploitation” (NPDE) sustainability strategy.  In order to achieve the new goal, Wilmar International will carry out a supplier audit by the end of January 2019, with all suppliers found to be driving forest loss then facing “immediate” suspension.The company will also invest in satellite software and technology, which will be used to monitor supplier farms from above, therefore ensuring transparency and compliance.Wilmar International’s chairman and chief executive Kuok Khoon Hong said in a statement that he felt “compelled” to bolster the company’s sustainability ambitions in light of recent research suggesting that palm oil-led deforestation is rising globally.“We have a shared responsibility with the rest of the upstream and downstream industry players as well as consumer goods companies and NGOs to prioritize forest protection at the heart of our operations,” the statement reads.“We will make progress in moving the industry through the implementation of these stricter controls.”Wilmar International notably supplies palm oil to factories producing products for a number of big-name consumer goods and food and drink firms, including Unilever, Proctor &amp; Gamble and Mondelez International.Green economy reactionThe announcement from Wilmar International was welcomed by Greenpeace, which has been actively campaigning against the firm’s 2013 policy for several years, claiming it was “insufficient” to tackle deforestation and modern slavery in palm oil supply chains.The green group’s global head of Indonesian forests campaigns Kiki Taufik confirmed that Greenpeace will “pause” this campaign in order to give Wilmar International time to put the new plan into place.“As the world wakes up to the climate and extinction crisis, inaction is not an option,” Taufik said.“Wilmar has taken an important step and must now put its plan into action immediately. If Wilmar keeps its word, by the end of 2019 it will be using satellites to monitor all of its palm oil suppliers, making it almost impossible for them to get away with forest destruction.”The move was also welcomed by WWF’s commodities lead Emma Keller, who said the use of satellite monitoring could help the palm oil industry take a “huge step forward” in eliminating unsustainable practices from supply chains."Produced the right way, palm oil doesn’t have to cause the destruction of forests that provide homes to orangutans, tigers and elephants,” Keller said.“As one of the world’s largest palm oil companies, Wilmar has a key role to play in stopping unsustainable palm oil from finding its way into supply chains and ultimately onto the shelves of our supermarkets. “Palm oil awarenessPalm oil appears in more than 50% of all supermarket products, from confectionary to cosmetics, but the commodity is linked to environmental destruction in global supply chains. Expanding palm oil and wood pulp plantations are the biggest drivers of deforestation in Indonesia and Malaysia, where many species, including the orangutan, are being threatened with extinction.In a bid to tackle the issue, firms such as Unilever have moved to source palm oil certified as “deforestation-free” in recent months, with the multinational having struck a deal with a government-owned palm oil plantation firm in Indonesia to create a support framework that enables local mills and smallholders to produce palm oil according to zero-deforestation and zero-peatland-deterioration standards this year.Supermarket Iceland, meanwhile, has adopted a different approach, removing palm oil from its own-brand products altogether. The company’s activism in this field has earned much attention and praise from the UK public and the media – particularly after its deforestation-focused Christmas advert was blocked from TV over concerns it was “too political”.More than 800,000 people have signed a petition demanding regulators allow the Iceland advert, called “Rang-Tan”, to be aired on TV.However, the CDP has warned that shifting away from palm oil to other commodities such as rapeseed or coconut oil could actually cause more extensive deforestation and pose greater risks of water stress.</t>
  </si>
  <si>
    <t>0.350733</t>
  </si>
  <si>
    <t>0.504749</t>
  </si>
  <si>
    <t>0.047933</t>
  </si>
  <si>
    <t>0.152285</t>
  </si>
  <si>
    <t>0.633407</t>
  </si>
  <si>
    <t>0.31495300000000004</t>
  </si>
  <si>
    <t>Worn Again Technologies</t>
  </si>
  <si>
    <t>corporate deforestation;</t>
  </si>
  <si>
    <t>Cocoa sector forest impacts and apparel supply chain circularityThis week: Christine McGrath from Mondelez International and Meghann Jones from Ipsos talk with Ian Welsh about the impacts of Mondelez’s Cocoa Life programme in Ghana and Côte d'Ivoire and debate why a holistic approach is required to achieve corporate deforestation and social goals;</t>
  </si>
  <si>
    <t>Cocoa sector forest impacts and apparel supply chain circularityThis week: Christine McGrath from Mondelez International and Meghann Jones from Ipsos talk with Ian Welsh about the impacts of Mondelez’s Cocoa Life programme in Ghana and Côte d'Ivoire and debate why a holistic approach is required to achieve corporate deforestation and social goals. And Innovation Forum’s Tanya Richard speaks to Cyndi Rhoades, CEO of Worn Again Technologies, about the apparel sector’s circular economy potential and impacts on plastic pollution.Plus, in the news digest: what business must do to achieve the IPCC 1.5C goals; investor fossil fuel divestment; and, the good and bad from Know the Chain’s new food and beverage benchmark.</t>
  </si>
  <si>
    <t>0.525897</t>
  </si>
  <si>
    <t>0.039891</t>
  </si>
  <si>
    <t>0.020314</t>
  </si>
  <si>
    <t>0.034549</t>
  </si>
  <si>
    <t>0.726134</t>
  </si>
  <si>
    <t>0.8415869999999999</t>
  </si>
  <si>
    <t>deforestation;</t>
  </si>
  <si>
    <t>Although “agreement on releasing this [information] required endorsement and support from our key suppliers and third party NGO partners,” Nestlé publishes a range of data points on its efforts to tackle deforestation across five of its key commodities  ;</t>
  </si>
  <si>
    <t xml:space="preserve">The radical supply chain transparency solution The latest palm oil supply disclosures from Unilever and Nestlé demonstrate the progress required to meet corporate targets    Unilever describes its latest attempt to create a more transparent supply of palm oil is a “major milestone” not just for its business but for the industry as a whole as it strives to avoid deforestation in commodity supply chains.The consumer goods giant now publicly discloses a list of the suppliers and mills from which it directly and indirectly sources palm oil. It’s been a big undertaking, mapping 300 direct suppliers and 1,400 mills, looking not just at where palm oil enters Unilever’s supply chain, but the processors, middle men and agents along the chain.Traditional commercial sensitivities and the complexity of the supply chain mean Unilever has had to persevere to get to where it is now, stating that “complete transparency” is required for radical transformation.It’s a similar story at the world’s biggest food business, Nestlé, which also now discloses its list of palm oil suppliers, an initiative of which “top management is fully supportive”, according to Emily Kunen, the company’s global responsible sourcing leader for palm oil.Although “agreement on releasing this [information] required endorsement and support from our key suppliers and third party NGO partners,” Nestlé publishes a range of data points on its efforts to tackle deforestation across five of its key commodities  </t>
  </si>
  <si>
    <t>0.587771</t>
  </si>
  <si>
    <t>0.058408</t>
  </si>
  <si>
    <t>0.007734</t>
  </si>
  <si>
    <t>0.103344</t>
  </si>
  <si>
    <t>0.742248</t>
  </si>
  <si>
    <t>0.874152</t>
  </si>
  <si>
    <t>Shocking video: this is where rainforest is destroyed-for Nestlé, Unilever and Co. Greenpeace filmed in March and April in a rainforest area in Indonesia-and devastated it to an unimaginable extent. For a palm oil plantation, a company has destroyed a hectare of forest area-it is apparently supplied by Nestlé, Mars, PepsiCo and Unilever. It's footage that's affected. From a helicopter perspective, a team from Greenpeace shows what is currently happening in Indonesia: a company produces large areas of rainforest in the province of Papua-it is preparing a new palm oil plantation. A total of 5000 hectares of rainforest were destroyed-one area half as large as Paris. Part of the rainforest stands still, the contrast between the dense green forest on the one hand and the reddish brown surface with broken trunks on the other side is particularly depressing. Palm oil industry is looking for new areas "After they have destroyed much of Sumatra and Kalimantan's rainforests, the palm oil industry is now pushing into new areas like Papua," says Richard George of Greenpeace UK. In this case, it is the "Hayel Saeed Anam Group" (HSA-Group)-a multi-group which, according to Greenpeace, supplies the major food industry groups: Nestlé, Mars, PepsiCo and Unilever.All four companies have actually issued directives that they should not use palm oil for which rainforest has been cut. The reality is evidently different, as the British "Guardian" formerly beklagte.Nestlé, Unilever, Mars and Co. have the responsibility of themselves " brands have already been talking about a decade of wanting to clean up their palm oil. Companies like Unilever and Nestlé claim to be leaders in the industry. Why are they still buying from forest destroyer like the HSA group?", says Richard George of Greenpeace.The big companies blame the blame for deforestation and other scandals on palm oil plantations over and over again and again. There is also something about it: because of the complex production and supply chains, it is not always easy to understand the areas in which palm oil has been purchased and whether forests have been cut down.</t>
  </si>
  <si>
    <t>0.594178</t>
  </si>
  <si>
    <t>0.123613</t>
  </si>
  <si>
    <t>0.475201</t>
  </si>
  <si>
    <t>0.522554</t>
  </si>
  <si>
    <t>In 2001, Unilever dumped toxic mercury in the south Indian hill town of Kodaikanal, poisoning its workers and the forest. [1]To this day, the mercury-tainted factory site continues to leak the deadly neurotoxin into the environment and the forests nearby, even though the factory has been closed for seventeen years. Local activists and non-profit groups have called on Unilever to clean up its mess, [2] but so far their calls are falling on deaf ears.If Unilever dumped a deadly neurotoxin somewhere in Europe that made people sick and destroyed the environment, authorities would demand Unilever clean up the site to proper standards. But since the damage was done far away in the developing world and involves marginalised communities, Unilever is refusing to clean up to standards that we, as Europeans, would be afforded.Late last year, in attempts to appease locals, Unilever used a substandard clean-up process that likely ended up releasing more mercury into the environment than it recovered. [3] This would never have even been allowed in Europe!Unilever is a European company, so as Europeans we are uniquely placed to speak out against this double-standard, and to hold Unilever to account. Local and international pressure has been mounting over the past year, and if Unilever is faced with a mobilisation here at home, they'll have to take real action to avoid losing face. With our help, Kodaikanal could be a healthy, habitable place once again.Indian activists have already achieved what they thought was unthinkable: after 15 years of campaigning, Unilever finally caved and agreed to compensate workers at the site for being poisoned with mercury. [4] But the forest in Kodaikanal is still suffering. Paul Polman, Unilever’s CEO, committed to cleaning up the factory site. [5] But these have remained empty words.</t>
  </si>
  <si>
    <t>0.680153</t>
  </si>
  <si>
    <t>0.117652</t>
  </si>
  <si>
    <t>0.121349</t>
  </si>
  <si>
    <t>0.546223</t>
  </si>
  <si>
    <t>Vevey, Switzerland – Nestle announced today plans to accelerate its actions to tackle plastic pollution, which include making its packaging recyclable or reusable by 2025 and shifting to single-use paper and other alternatives.In response, Greenpeace Global Plastics Project Leader Graham Forbes said:“It’s good that Nestle is finally acknowledging the severity of the plastic pollution crisis by eliminating non-recyclable products and admitting that recycling is not enough, but the solution isn’t to simply shift to another throwaway material. These kinds of false solutions, which are not environmentally friendly, are what put us in this mess in the first place. We need Nestle to innovate away from the single use-model entirely. While today’s announcement is a step in the right direction, the company needs to scale up its efforts toward reusable systems rather than grasping at a quick fix that could cause further environmental disaster such as deforestation.”</t>
  </si>
  <si>
    <t>0.400659</t>
  </si>
  <si>
    <t>0.210279</t>
  </si>
  <si>
    <t>0.115687</t>
  </si>
  <si>
    <t>0.3135</t>
  </si>
  <si>
    <t>"Brands have been talking about cleaning up their palm oil for over a decade. Companies like Unilever and Nestlé claim to be industry leaders. So why are they still buying from forest destroyers</t>
  </si>
  <si>
    <t>0.661634</t>
  </si>
  <si>
    <t>0.097612</t>
  </si>
  <si>
    <t>0.070954</t>
  </si>
  <si>
    <t>0.154269</t>
  </si>
  <si>
    <t>The new action plan released today by Wilmar International is not fit for purpose and will not keep forest destroyers out of its supply chain.</t>
  </si>
  <si>
    <t>0.089967</t>
  </si>
  <si>
    <t>0.011949</t>
  </si>
  <si>
    <t>0.076493</t>
  </si>
  <si>
    <t>0.419092</t>
  </si>
  <si>
    <t>JAKARTA, Indonesia (AP) — The main global group for certifying sustainable wood has suspended plans to give its influential endorsement to Indonesian paper giant Sinarmas after revelations it cut down tropical forests and used an opaque corporate structure to hide its activities.The Forest Stewardship Council said Thursday that it had halted a process that could have enabled the Asia Pulp &amp; Paper arm of Sinarmas to be readmitted to the organization.The group said it is awaiting information from the conglomerate “related to its corporate structure and alleged unacceptable forest management activities” by companies thought related to it and wants full disclosure. Three months ago, the council had sent a come clean ultimatum to Sinarmas, one of the world’s largest paper companies, and its billionaire Indonesian family owners.The conglomerate said Thursday that it has hired an accounting firm to carry out a “comprehensive assessment” of all industrial forest plantation companies in Indonesia that would be supervised by The Forest Trust, a corporate backed group that says it promotes transparency in supply chains. Its members include Asia Pulp &amp; Paper. The assessment would resolve “ongoing and unsubstantiated allegations of using opaque ownership structures,” Sinarmas said.The FSC mark, a stylized tree, is sought by paper producers and other wood users as an endorsement they can use in the marketplace to promote their products as “green” and charge a premium. It is especially crucial for access to the lucrative North American market.The group’s suspension of its endorsement for Sinarmas comes after investigations by The Associated Press and the environmental news site Mongabay showed extensive ties between Sinarmas and plantation companies that the conglomerate had either denied any involvement with or described as independent suppliers.One of those companies was cutting down tropical forest in West Kalimantan that was a habitat for critically endangered Bornean orangutans, a violation of the conglomerate’s 2013 vow to end deforestation. Greenpeace, which had been advising Sinarmas on conservation, cut ties with the conglomerate.Separately, on Wednesday, conservation groups released a report based on government wood utilization data that showed Asia Pulp &amp; Paper had purchased wood from two plantation companies that have cleared a combined 32,000 hectares of natural forest since 2013. It also said another Indonesian conglomerate, Asia Pacific Resources International, usually known as April, had done the same.The purchased wood was plantation grown, not natural forest. But the conservation groups said both companies were violating their no-deforestation promises because they were taking wood grown on land where the natural forest is being progressively cut down.Asia Pulp &amp; Paper said it had “quarantined” at one of its mills about 800 truckloads of wood bought from Fajar Surya Swadaya.It said the purchase was an administrative lapse that occurred before an inspection of the plantation showed the operator didn’t understand what is known as “high conservation stock” and was cutting down natural forest. April, meanwhile, said the plantation had done a conservation assessment in April 2015 and based on this, the development wasn’t done in a forest with high conservation value.</t>
  </si>
  <si>
    <t>0.220426</t>
  </si>
  <si>
    <t>0.097929</t>
  </si>
  <si>
    <t>0.111025</t>
  </si>
  <si>
    <t>0.264717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</si>
</sst>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3" Type="http://schemas.openxmlformats.org/officeDocument/2006/relationships/theme" Target="theme/theme1.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alcChain" Target="calcChain.xml"/><Relationship Id="rId5" Type="http://schemas.openxmlformats.org/officeDocument/2006/relationships/styles" Target="styles.xml"/><Relationship Id="rId10" Type="http://schemas.microsoft.com/office/2017/06/relationships/rdRichValueTypes" Target="richData/rdRichValueTypes.xml"/><Relationship Id="rId4" Type="http://schemas.openxmlformats.org/officeDocument/2006/relationships/connections" Target="connections.xml"/><Relationship Id="rId9" Type="http://schemas.microsoft.com/office/2017/06/relationships/rdRichValueStructure" Target="richData/rdrichvaluestructure.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ui_MANA_articles" connectionId="17" xr16:uid="{FE85E8D3-6BD0-4FA6-A1A8-227832CACAEB}"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Non_MANA_articles" connectionId="7" xr16:uid="{107C5FE4-8DD1-44BF-BD4D-8E637E749196}" autoFormatId="16" applyNumberFormats="0" applyBorderFormats="0" applyFontFormats="1" applyPatternFormats="1" applyAlignmentFormats="0" applyWidthHeightFormats="0"/>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rvTypesInfo>
</file>

<file path=xl/richData/rdrichvalue.xml><?xml version="1.0" encoding="utf-8"?>
<rvData xmlns="http://schemas.microsoft.com/office/spreadsheetml/2017/richdata" count="101">
  <rv s="0">
    <v>12</v>
    <v>760335</v>
  </rv>
  <rv s="0">
    <v>12</v>
    <v>9286695</v>
  </rv>
  <rv s="0">
    <v>12</v>
    <v>37414</v>
  </rv>
  <rv s="0">
    <v>12</v>
    <v>5384305</v>
  </rv>
  <rv s="0">
    <v>12</v>
    <v>791715</v>
  </rv>
  <rv s="0">
    <v>12</v>
    <v>2783035</v>
  </rv>
  <rv s="0">
    <v>12</v>
    <v>567031</v>
  </rv>
  <rv s="0">
    <v>12</v>
    <v>7203755</v>
  </rv>
  <rv s="0">
    <v>12</v>
    <v>387227</v>
  </rv>
  <rv s="0">
    <v>12</v>
    <v>5691164999999999</v>
  </rv>
  <rv s="0">
    <v>12</v>
    <v>908255</v>
  </rv>
  <rv s="0">
    <v>12</v>
    <v>4688075</v>
  </rv>
  <rv s="0">
    <v>12</v>
    <v>748661</v>
  </rv>
  <rv s="0">
    <v>12</v>
    <v>2129955000000001</v>
  </rv>
  <rv s="0">
    <v>12</v>
    <v>769405</v>
  </rv>
  <rv s="0">
    <v>12</v>
    <v>1862195</v>
  </rv>
  <rv s="0">
    <v>12</v>
    <v>647861</v>
  </rv>
  <rv s="0">
    <v>12</v>
    <v>125925</v>
  </rv>
  <rv s="0">
    <v>12</v>
    <v>655031</v>
  </rv>
  <rv s="0">
    <v>12</v>
    <v>0322945</v>
  </rv>
  <rv s="0">
    <v>12</v>
    <v>501989</v>
  </rv>
  <rv s="0">
    <v>12</v>
    <v>7603055</v>
  </rv>
  <rv s="0">
    <v>12</v>
    <v>542472</v>
  </rv>
  <rv s="0">
    <v>12</v>
    <v>660032</v>
  </rv>
  <rv s="0">
    <v>12</v>
    <v>06756200000000001</v>
  </rv>
  <rv s="0">
    <v>12</v>
    <v>590401</v>
  </rv>
  <rv s="0">
    <v>12</v>
    <v>728518</v>
  </rv>
  <rv s="0">
    <v>12</v>
    <v>58295</v>
  </rv>
  <rv s="0">
    <v>12</v>
    <v>902663</v>
  </rv>
  <rv s="0">
    <v>12</v>
    <v>441652</v>
  </rv>
  <rv s="0">
    <v>12</v>
    <v>5492035</v>
  </rv>
  <rv s="0">
    <v>12</v>
    <v>655112</v>
  </rv>
  <rv s="0">
    <v>12</v>
    <v>23977</v>
  </rv>
  <rv s="0">
    <v>12</v>
    <v>665876</v>
  </rv>
  <rv s="0">
    <v>12</v>
    <v>8979010000000001</v>
  </rv>
  <rv s="0">
    <v>12</v>
    <v>644764</v>
  </rv>
  <rv s="0">
    <v>12</v>
    <v>6309775</v>
  </rv>
  <rv s="0">
    <v>12</v>
    <v>427169</v>
  </rv>
  <rv s="0">
    <v>12</v>
    <v>596993</v>
  </rv>
  <rv s="0">
    <v>12</v>
    <v>621464</v>
  </rv>
  <rv s="0">
    <v>12</v>
    <v>963685</v>
  </rv>
  <rv s="0">
    <v>12</v>
    <v>477931</v>
  </rv>
  <rv s="0">
    <v>12</v>
    <v>7864745</v>
  </rv>
  <rv s="0">
    <v>12</v>
    <v>53908</v>
  </rv>
  <rv s="0">
    <v>12</v>
    <v>7442515000000001</v>
  </rv>
  <rv s="0">
    <v>12</v>
    <v>704714</v>
  </rv>
  <rv s="0">
    <v>12</v>
    <v>0452715</v>
  </rv>
  <rv s="0">
    <v>12</v>
    <v>630815</v>
  </rv>
  <rv s="0">
    <v>12</v>
    <v>9585145</v>
  </rv>
  <rv s="0">
    <v>12</v>
    <v>458062</v>
  </rv>
  <rv s="0">
    <v>12</v>
    <v>788354</v>
  </rv>
  <rv s="0">
    <v>12</v>
    <v>599349</v>
  </rv>
  <rv s="0">
    <v>12</v>
    <v>7796115</v>
  </rv>
  <rv s="0">
    <v>12</v>
    <v>583115</v>
  </rv>
  <rv s="0">
    <v>12</v>
    <v>7239025</v>
  </rv>
  <rv s="0">
    <v>12</v>
    <v>456547</v>
  </rv>
  <rv s="0">
    <v>12</v>
    <v>6089399999999999</v>
  </rv>
  <rv s="0">
    <v>12</v>
    <v>527172</v>
  </rv>
  <rv s="0">
    <v>12</v>
    <v>4408525</v>
  </rv>
  <rv s="0">
    <v>12</v>
    <v>684225</v>
  </rv>
  <rv s="0">
    <v>12</v>
    <v>259614</v>
  </rv>
  <rv s="0">
    <v>12</v>
    <v>575093</v>
  </rv>
  <rv s="0">
    <v>12</v>
    <v>9861175</v>
  </rv>
  <rv s="0">
    <v>12</v>
    <v>44333200000000006</v>
  </rv>
  <rv s="0">
    <v>12</v>
    <v>886165</v>
  </rv>
  <rv s="0">
    <v>12</v>
    <v>896066</v>
  </rv>
  <rv s="0">
    <v>12</v>
    <v>412527</v>
  </rv>
  <rv s="0">
    <v>12</v>
    <v>7946115</v>
  </rv>
  <rv s="0">
    <v>12</v>
    <v>812503</v>
  </rv>
  <rv s="0">
    <v>12</v>
    <v>7843285</v>
  </rv>
  <rv s="0">
    <v>12</v>
    <v>582654</v>
  </rv>
  <rv s="0">
    <v>12</v>
    <v>730797</v>
  </rv>
  <rv s="0">
    <v>12</v>
    <v>371501</v>
  </rv>
  <rv s="0">
    <v>12</v>
    <v>6032245</v>
  </rv>
  <rv s="0">
    <v>12</v>
    <v>305519</v>
  </rv>
  <rv s="0">
    <v>12</v>
    <v>23982749999999997</v>
  </rv>
  <rv s="0">
    <v>12</v>
    <v>864135</v>
  </rv>
  <rv s="0">
    <v>12</v>
    <v>3650335</v>
  </rv>
  <rv s="0">
    <v>12</v>
    <v>487614</v>
  </rv>
  <rv s="0">
    <v>12</v>
    <v>9550915</v>
  </rv>
  <rv s="0">
    <v>12</v>
    <v>276267</v>
  </rv>
  <rv s="0">
    <v>12</v>
    <v>25223249999999997</v>
  </rv>
  <rv s="0">
    <v>12</v>
    <v>10916100000000001</v>
  </rv>
  <rv s="0">
    <v>12</v>
    <v>768532</v>
  </rv>
  <rv s="0">
    <v>12</v>
    <v>334035</v>
  </rv>
  <rv s="0">
    <v>12</v>
    <v>771077</v>
  </rv>
  <rv s="0">
    <v>12</v>
    <v>921444</v>
  </rv>
  <rv s="0">
    <v>12</v>
    <v>566193</v>
  </rv>
  <rv s="0">
    <v>12</v>
    <v>9014119999999999</v>
  </rv>
  <rv s="0">
    <v>12</v>
    <v>649309</v>
  </rv>
  <rv s="0">
    <v>12</v>
    <v>8357745000000001</v>
  </rv>
  <rv s="0">
    <v>12</v>
    <v>586864</v>
  </rv>
  <rv s="0">
    <v>12</v>
    <v>7934265</v>
  </rv>
  <rv s="0">
    <v>12</v>
    <v>419696</v>
  </rv>
  <rv s="0">
    <v>12</v>
    <v>7576615</v>
  </rv>
  <rv s="0">
    <v>12</v>
    <v>774296</v>
  </rv>
  <rv s="0">
    <v>12</v>
    <v>6539545</v>
  </rv>
  <rv s="0">
    <v>12</v>
    <v>48338</v>
  </rv>
  <rv s="0">
    <v>12</v>
    <v>5657114999999999</v>
  </rv>
  <rv s="0">
    <v>12</v>
    <v>401941</v>
  </rv>
  <rv s="0">
    <v>12</v>
    <v>351083</v>
  </rv>
</rvData>
</file>

<file path=xl/richData/rdrichvaluestructure.xml><?xml version="1.0" encoding="utf-8"?>
<rvStructures xmlns="http://schemas.microsoft.com/office/spreadsheetml/2017/richdata" count="1">
  <s t="_error">
    <k n="errorType" t="i"/>
    <k n="field" t="s"/>
  </s>
</rvStructure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166CB-F7F3-4402-9C44-3CAD4AA6327E}">
  <sheetPr codeName="Feuil28"/>
  <dimension ref="A1:L62"/>
  <sheetViews>
    <sheetView tabSelected="1" workbookViewId="0"/>
  </sheetViews>
  <sheetFormatPr baseColWidth="10" defaultRowHeight="15.75" x14ac:dyDescent="0.25"/>
  <cols>
    <col min="1" max="1" width="4" bestFit="1" customWidth="1"/>
    <col min="2" max="2" width="21.875" bestFit="1" customWidth="1"/>
    <col min="3" max="3" width="19.875" bestFit="1" customWidth="1"/>
    <col min="4" max="6" width="81" bestFit="1" customWidth="1"/>
    <col min="7" max="7" width="9" bestFit="1" customWidth="1"/>
    <col min="8" max="11" width="8.375" bestFit="1" customWidth="1"/>
    <col min="12" max="12" width="19.5" bestFit="1" customWidth="1"/>
  </cols>
  <sheetData>
    <row r="1" spans="1:12" x14ac:dyDescent="0.25">
      <c r="A1" t="s">
        <v>0</v>
      </c>
      <c r="B1" t="s">
        <v>1</v>
      </c>
      <c r="C1" t="s">
        <v>2</v>
      </c>
      <c r="D1" t="s">
        <v>3</v>
      </c>
      <c r="E1" t="s">
        <v>4</v>
      </c>
      <c r="F1" t="s">
        <v>5</v>
      </c>
      <c r="G1" t="s">
        <v>6</v>
      </c>
      <c r="H1" t="s">
        <v>7</v>
      </c>
      <c r="I1" t="s">
        <v>8</v>
      </c>
      <c r="J1" t="s">
        <v>9</v>
      </c>
      <c r="K1" t="s">
        <v>10</v>
      </c>
      <c r="L1" t="s">
        <v>11</v>
      </c>
    </row>
    <row r="2" spans="1:12" x14ac:dyDescent="0.25">
      <c r="A2">
        <v>1</v>
      </c>
      <c r="B2" t="s">
        <v>72</v>
      </c>
      <c r="C2">
        <v>18</v>
      </c>
      <c r="D2" t="s">
        <v>73</v>
      </c>
      <c r="E2" t="s">
        <v>74</v>
      </c>
      <c r="F2" t="s">
        <v>75</v>
      </c>
      <c r="G2" t="e" vm="1">
        <f>_FV(0,"760335")</f>
        <v>#VALUE!</v>
      </c>
      <c r="H2" t="s">
        <v>76</v>
      </c>
      <c r="I2" t="s">
        <v>77</v>
      </c>
      <c r="J2" t="s">
        <v>78</v>
      </c>
      <c r="K2" t="s">
        <v>79</v>
      </c>
      <c r="L2" t="e" vm="2">
        <f>_FV(0,"9286695")</f>
        <v>#VALUE!</v>
      </c>
    </row>
    <row r="3" spans="1:12" x14ac:dyDescent="0.25">
      <c r="A3">
        <v>1</v>
      </c>
      <c r="B3" t="s">
        <v>80</v>
      </c>
      <c r="C3">
        <v>16</v>
      </c>
      <c r="D3" t="s">
        <v>81</v>
      </c>
      <c r="E3" t="s">
        <v>82</v>
      </c>
      <c r="F3" t="s">
        <v>83</v>
      </c>
      <c r="G3" t="e" vm="3">
        <f>_FV(0,"37414")</f>
        <v>#VALUE!</v>
      </c>
      <c r="H3" t="s">
        <v>84</v>
      </c>
      <c r="I3" t="s">
        <v>85</v>
      </c>
      <c r="J3" t="s">
        <v>86</v>
      </c>
      <c r="K3" t="s">
        <v>87</v>
      </c>
      <c r="L3" t="e" vm="4">
        <f>_FV(0,"5384305")</f>
        <v>#VALUE!</v>
      </c>
    </row>
    <row r="4" spans="1:12" x14ac:dyDescent="0.25">
      <c r="A4">
        <v>1</v>
      </c>
      <c r="B4" t="s">
        <v>72</v>
      </c>
      <c r="C4">
        <v>15</v>
      </c>
      <c r="D4" t="s">
        <v>88</v>
      </c>
      <c r="E4" t="s">
        <v>89</v>
      </c>
      <c r="F4" t="s">
        <v>90</v>
      </c>
      <c r="G4" t="e" vm="5">
        <f>_FV(0,"791715")</f>
        <v>#VALUE!</v>
      </c>
      <c r="H4" t="s">
        <v>91</v>
      </c>
      <c r="I4" t="s">
        <v>92</v>
      </c>
      <c r="J4" t="s">
        <v>93</v>
      </c>
      <c r="K4" t="s">
        <v>94</v>
      </c>
      <c r="L4" t="e" vm="6">
        <f>_FV(-1,"2783035")</f>
        <v>#VALUE!</v>
      </c>
    </row>
    <row r="5" spans="1:12" x14ac:dyDescent="0.25">
      <c r="A5">
        <v>1</v>
      </c>
      <c r="B5" t="s">
        <v>95</v>
      </c>
      <c r="C5">
        <v>14</v>
      </c>
      <c r="D5" t="s">
        <v>96</v>
      </c>
      <c r="E5" t="s">
        <v>97</v>
      </c>
      <c r="F5" t="s">
        <v>98</v>
      </c>
      <c r="G5" t="e" vm="7">
        <f>_FV(0,"567031")</f>
        <v>#VALUE!</v>
      </c>
      <c r="H5" t="s">
        <v>99</v>
      </c>
      <c r="I5" t="s">
        <v>100</v>
      </c>
      <c r="J5" t="s">
        <v>101</v>
      </c>
      <c r="K5" t="s">
        <v>102</v>
      </c>
      <c r="L5" t="e" vm="8">
        <f>_FV(0,"7203755")</f>
        <v>#VALUE!</v>
      </c>
    </row>
    <row r="6" spans="1:12" x14ac:dyDescent="0.25">
      <c r="A6">
        <v>1</v>
      </c>
      <c r="B6" t="s">
        <v>80</v>
      </c>
      <c r="C6">
        <v>14</v>
      </c>
      <c r="D6" t="s">
        <v>103</v>
      </c>
      <c r="E6" t="s">
        <v>104</v>
      </c>
      <c r="F6" t="s">
        <v>105</v>
      </c>
      <c r="G6" t="e" vm="9">
        <f>_FV(0,"387227")</f>
        <v>#VALUE!</v>
      </c>
      <c r="H6" t="s">
        <v>106</v>
      </c>
      <c r="I6" t="s">
        <v>107</v>
      </c>
      <c r="J6" t="s">
        <v>108</v>
      </c>
      <c r="K6" t="s">
        <v>109</v>
      </c>
      <c r="L6" t="e" vm="10">
        <f>_FV(0,"5691164999999999")</f>
        <v>#VALUE!</v>
      </c>
    </row>
    <row r="7" spans="1:12" x14ac:dyDescent="0.25">
      <c r="A7">
        <v>1</v>
      </c>
      <c r="B7" t="s">
        <v>12</v>
      </c>
      <c r="C7">
        <v>13</v>
      </c>
      <c r="D7" t="s">
        <v>13</v>
      </c>
      <c r="E7" t="s">
        <v>59</v>
      </c>
      <c r="F7" t="s">
        <v>60</v>
      </c>
      <c r="G7" t="e" vm="11">
        <f>_FV(0,"908255")</f>
        <v>#VALUE!</v>
      </c>
      <c r="H7" t="s">
        <v>14</v>
      </c>
      <c r="I7" t="s">
        <v>15</v>
      </c>
      <c r="J7" t="s">
        <v>16</v>
      </c>
      <c r="K7" t="s">
        <v>17</v>
      </c>
      <c r="L7" t="e" vm="12">
        <f>_FV(-1,"4688075")</f>
        <v>#VALUE!</v>
      </c>
    </row>
    <row r="8" spans="1:12" x14ac:dyDescent="0.25">
      <c r="A8">
        <v>1</v>
      </c>
      <c r="B8" t="s">
        <v>110</v>
      </c>
      <c r="C8">
        <v>13</v>
      </c>
      <c r="D8" t="s">
        <v>111</v>
      </c>
      <c r="E8" t="s">
        <v>112</v>
      </c>
      <c r="F8" t="s">
        <v>113</v>
      </c>
      <c r="G8" t="e" vm="13">
        <f>_FV(0,"748661")</f>
        <v>#VALUE!</v>
      </c>
      <c r="H8" t="s">
        <v>114</v>
      </c>
      <c r="I8" t="s">
        <v>115</v>
      </c>
      <c r="J8" t="s">
        <v>116</v>
      </c>
      <c r="K8" t="s">
        <v>117</v>
      </c>
      <c r="L8" t="e" vm="14">
        <f>_FV(-1,"2129955000000001")</f>
        <v>#VALUE!</v>
      </c>
    </row>
    <row r="9" spans="1:12" x14ac:dyDescent="0.25">
      <c r="A9">
        <v>1</v>
      </c>
      <c r="B9" t="s">
        <v>118</v>
      </c>
      <c r="C9">
        <v>12</v>
      </c>
      <c r="D9" t="s">
        <v>119</v>
      </c>
      <c r="E9" t="s">
        <v>120</v>
      </c>
      <c r="F9" t="s">
        <v>121</v>
      </c>
      <c r="G9" t="e" vm="15">
        <f>_FV(0,"769405")</f>
        <v>#VALUE!</v>
      </c>
      <c r="H9" t="s">
        <v>122</v>
      </c>
      <c r="I9" t="s">
        <v>123</v>
      </c>
      <c r="J9" t="s">
        <v>124</v>
      </c>
      <c r="K9" t="s">
        <v>125</v>
      </c>
      <c r="L9" t="e" vm="16">
        <f>_FV(-1,"1862195")</f>
        <v>#VALUE!</v>
      </c>
    </row>
    <row r="10" spans="1:12" x14ac:dyDescent="0.25">
      <c r="A10">
        <v>1</v>
      </c>
      <c r="B10" t="s">
        <v>126</v>
      </c>
      <c r="C10">
        <v>12</v>
      </c>
      <c r="D10" t="s">
        <v>127</v>
      </c>
      <c r="E10" t="s">
        <v>128</v>
      </c>
      <c r="F10" t="s">
        <v>129</v>
      </c>
      <c r="G10" t="e" vm="17">
        <f>_FV(0,"647861")</f>
        <v>#VALUE!</v>
      </c>
      <c r="H10" t="s">
        <v>130</v>
      </c>
      <c r="I10" t="s">
        <v>131</v>
      </c>
      <c r="J10" t="s">
        <v>132</v>
      </c>
      <c r="K10" t="s">
        <v>133</v>
      </c>
      <c r="L10" t="e" vm="18">
        <f>_FV(-1,"125925")</f>
        <v>#VALUE!</v>
      </c>
    </row>
    <row r="11" spans="1:12" x14ac:dyDescent="0.25">
      <c r="A11">
        <v>1</v>
      </c>
      <c r="B11" t="s">
        <v>118</v>
      </c>
      <c r="C11">
        <v>11</v>
      </c>
      <c r="D11" t="s">
        <v>134</v>
      </c>
      <c r="E11" t="s">
        <v>135</v>
      </c>
      <c r="F11" t="s">
        <v>136</v>
      </c>
      <c r="G11" t="e" vm="19">
        <f>_FV(0,"655031")</f>
        <v>#VALUE!</v>
      </c>
      <c r="H11" t="s">
        <v>137</v>
      </c>
      <c r="I11" t="s">
        <v>138</v>
      </c>
      <c r="J11" t="s">
        <v>139</v>
      </c>
      <c r="K11" t="s">
        <v>140</v>
      </c>
      <c r="L11" t="e" vm="20">
        <f>_FV(-1,"0322945")</f>
        <v>#VALUE!</v>
      </c>
    </row>
    <row r="12" spans="1:12" x14ac:dyDescent="0.25">
      <c r="A12">
        <v>1</v>
      </c>
      <c r="B12" t="s">
        <v>141</v>
      </c>
      <c r="C12">
        <v>9</v>
      </c>
      <c r="D12" t="s">
        <v>142</v>
      </c>
      <c r="E12" t="s">
        <v>143</v>
      </c>
      <c r="F12" t="s">
        <v>144</v>
      </c>
      <c r="G12" t="e" vm="21">
        <f>_FV(0,"501989")</f>
        <v>#VALUE!</v>
      </c>
      <c r="H12" t="s">
        <v>145</v>
      </c>
      <c r="I12" t="s">
        <v>146</v>
      </c>
      <c r="J12" t="s">
        <v>147</v>
      </c>
      <c r="K12" t="s">
        <v>148</v>
      </c>
      <c r="L12" t="e" vm="22">
        <f>_FV(0,"7603055")</f>
        <v>#VALUE!</v>
      </c>
    </row>
    <row r="13" spans="1:12" x14ac:dyDescent="0.25">
      <c r="A13">
        <v>1</v>
      </c>
      <c r="B13" t="s">
        <v>80</v>
      </c>
      <c r="C13">
        <v>9</v>
      </c>
      <c r="D13" t="s">
        <v>149</v>
      </c>
      <c r="E13" t="s">
        <v>150</v>
      </c>
      <c r="F13" t="s">
        <v>151</v>
      </c>
      <c r="G13" t="e" vm="23">
        <f>_FV(0,"542472")</f>
        <v>#VALUE!</v>
      </c>
      <c r="H13" t="s">
        <v>152</v>
      </c>
      <c r="I13" t="s">
        <v>153</v>
      </c>
      <c r="J13" t="s">
        <v>154</v>
      </c>
      <c r="K13" t="s">
        <v>155</v>
      </c>
      <c r="L13" t="e" vm="24">
        <f>_FV(0,"660032")</f>
        <v>#VALUE!</v>
      </c>
    </row>
    <row r="14" spans="1:12" x14ac:dyDescent="0.25">
      <c r="A14">
        <v>1</v>
      </c>
      <c r="B14" t="s">
        <v>72</v>
      </c>
      <c r="C14">
        <v>9</v>
      </c>
      <c r="D14" t="s">
        <v>156</v>
      </c>
      <c r="E14" t="s">
        <v>157</v>
      </c>
      <c r="F14" t="s">
        <v>158</v>
      </c>
      <c r="G14" t="s">
        <v>159</v>
      </c>
      <c r="H14" t="s">
        <v>160</v>
      </c>
      <c r="I14" t="s">
        <v>161</v>
      </c>
      <c r="J14" t="s">
        <v>162</v>
      </c>
      <c r="K14" t="s">
        <v>163</v>
      </c>
      <c r="L14" t="e" vm="25">
        <f>_FV(0,"06756200000000001")</f>
        <v>#VALUE!</v>
      </c>
    </row>
    <row r="15" spans="1:12" x14ac:dyDescent="0.25">
      <c r="A15">
        <v>1</v>
      </c>
      <c r="B15" t="s">
        <v>72</v>
      </c>
      <c r="C15">
        <v>9</v>
      </c>
      <c r="D15" t="s">
        <v>164</v>
      </c>
      <c r="E15" t="s">
        <v>165</v>
      </c>
      <c r="F15" t="s">
        <v>166</v>
      </c>
      <c r="G15" t="s">
        <v>167</v>
      </c>
      <c r="H15" t="s">
        <v>168</v>
      </c>
      <c r="I15" t="s">
        <v>169</v>
      </c>
      <c r="J15" t="s">
        <v>170</v>
      </c>
      <c r="K15" t="s">
        <v>171</v>
      </c>
      <c r="L15" t="s">
        <v>172</v>
      </c>
    </row>
    <row r="16" spans="1:12" x14ac:dyDescent="0.25">
      <c r="A16">
        <v>1</v>
      </c>
      <c r="B16" t="s">
        <v>18</v>
      </c>
      <c r="C16">
        <v>8</v>
      </c>
      <c r="D16" t="s">
        <v>19</v>
      </c>
      <c r="E16" t="s">
        <v>61</v>
      </c>
      <c r="F16" t="s">
        <v>62</v>
      </c>
      <c r="G16" t="e" vm="26">
        <f>_FV(0,"590401")</f>
        <v>#VALUE!</v>
      </c>
      <c r="H16" t="s">
        <v>20</v>
      </c>
      <c r="I16" t="s">
        <v>21</v>
      </c>
      <c r="J16" t="s">
        <v>22</v>
      </c>
      <c r="K16" t="s">
        <v>23</v>
      </c>
      <c r="L16" t="e" vm="27">
        <f>_FV(0,"728518")</f>
        <v>#VALUE!</v>
      </c>
    </row>
    <row r="17" spans="1:12" x14ac:dyDescent="0.25">
      <c r="A17">
        <v>1</v>
      </c>
      <c r="B17" t="s">
        <v>72</v>
      </c>
      <c r="C17">
        <v>7</v>
      </c>
      <c r="D17" t="s">
        <v>173</v>
      </c>
      <c r="E17" t="s">
        <v>174</v>
      </c>
      <c r="F17" t="s">
        <v>175</v>
      </c>
      <c r="G17" t="e" vm="28">
        <f>_FV(0,"58295")</f>
        <v>#VALUE!</v>
      </c>
      <c r="H17" t="s">
        <v>176</v>
      </c>
      <c r="I17" t="s">
        <v>177</v>
      </c>
      <c r="J17" t="s">
        <v>178</v>
      </c>
      <c r="K17" t="s">
        <v>179</v>
      </c>
      <c r="L17" t="e" vm="29">
        <f>_FV(0,"902663")</f>
        <v>#VALUE!</v>
      </c>
    </row>
    <row r="18" spans="1:12" x14ac:dyDescent="0.25">
      <c r="A18">
        <v>1</v>
      </c>
      <c r="B18" t="s">
        <v>180</v>
      </c>
      <c r="C18">
        <v>7</v>
      </c>
      <c r="D18" t="s">
        <v>181</v>
      </c>
      <c r="E18" t="s">
        <v>182</v>
      </c>
      <c r="F18" t="s">
        <v>183</v>
      </c>
      <c r="G18" t="e" vm="30">
        <f>_FV(0,"441652")</f>
        <v>#VALUE!</v>
      </c>
      <c r="H18" t="s">
        <v>184</v>
      </c>
      <c r="I18" t="s">
        <v>185</v>
      </c>
      <c r="J18" t="s">
        <v>186</v>
      </c>
      <c r="K18" t="s">
        <v>187</v>
      </c>
      <c r="L18" t="e" vm="31">
        <f>_FV(0,"5492035")</f>
        <v>#VALUE!</v>
      </c>
    </row>
    <row r="19" spans="1:12" x14ac:dyDescent="0.25">
      <c r="A19">
        <v>1</v>
      </c>
      <c r="B19" t="s">
        <v>126</v>
      </c>
      <c r="C19">
        <v>7</v>
      </c>
      <c r="D19" t="s">
        <v>188</v>
      </c>
      <c r="E19" t="s">
        <v>189</v>
      </c>
      <c r="F19" t="s">
        <v>190</v>
      </c>
      <c r="G19" t="s">
        <v>191</v>
      </c>
      <c r="H19" t="s">
        <v>192</v>
      </c>
      <c r="I19" t="s">
        <v>193</v>
      </c>
      <c r="J19" t="s">
        <v>194</v>
      </c>
      <c r="K19" t="s">
        <v>195</v>
      </c>
      <c r="L19" t="s">
        <v>196</v>
      </c>
    </row>
    <row r="20" spans="1:12" x14ac:dyDescent="0.25">
      <c r="A20">
        <v>1</v>
      </c>
      <c r="B20" t="s">
        <v>24</v>
      </c>
      <c r="C20">
        <v>7</v>
      </c>
      <c r="D20" t="s">
        <v>63</v>
      </c>
      <c r="E20" t="s">
        <v>64</v>
      </c>
      <c r="F20" t="s">
        <v>65</v>
      </c>
      <c r="G20" t="s">
        <v>25</v>
      </c>
      <c r="H20" t="s">
        <v>26</v>
      </c>
      <c r="I20" t="s">
        <v>27</v>
      </c>
      <c r="J20" t="s">
        <v>28</v>
      </c>
      <c r="K20" t="s">
        <v>29</v>
      </c>
      <c r="L20" t="s">
        <v>30</v>
      </c>
    </row>
    <row r="21" spans="1:12" x14ac:dyDescent="0.25">
      <c r="A21">
        <v>1</v>
      </c>
      <c r="B21" t="s">
        <v>118</v>
      </c>
      <c r="C21">
        <v>6</v>
      </c>
      <c r="D21" t="s">
        <v>197</v>
      </c>
      <c r="E21" t="s">
        <v>198</v>
      </c>
      <c r="F21" t="s">
        <v>199</v>
      </c>
      <c r="G21" t="e" vm="32">
        <f>_FV(0,"655112")</f>
        <v>#VALUE!</v>
      </c>
      <c r="H21" t="s">
        <v>200</v>
      </c>
      <c r="I21" t="s">
        <v>201</v>
      </c>
      <c r="J21" t="s">
        <v>202</v>
      </c>
      <c r="K21" t="s">
        <v>203</v>
      </c>
      <c r="L21" t="e" vm="33">
        <f>_FV(-1,"23977")</f>
        <v>#VALUE!</v>
      </c>
    </row>
    <row r="22" spans="1:12" x14ac:dyDescent="0.25">
      <c r="A22">
        <v>1</v>
      </c>
      <c r="B22" t="s">
        <v>18</v>
      </c>
      <c r="C22">
        <v>6</v>
      </c>
      <c r="D22" t="s">
        <v>204</v>
      </c>
      <c r="E22" t="s">
        <v>205</v>
      </c>
      <c r="F22" t="s">
        <v>206</v>
      </c>
      <c r="G22" t="e" vm="34">
        <f>_FV(0,"665876")</f>
        <v>#VALUE!</v>
      </c>
      <c r="H22" t="s">
        <v>207</v>
      </c>
      <c r="I22" t="s">
        <v>208</v>
      </c>
      <c r="J22" t="s">
        <v>209</v>
      </c>
      <c r="K22" t="s">
        <v>210</v>
      </c>
      <c r="L22" t="e" vm="35">
        <f>_FV(0,"8979010000000001")</f>
        <v>#VALUE!</v>
      </c>
    </row>
    <row r="23" spans="1:12" x14ac:dyDescent="0.25">
      <c r="A23">
        <v>1</v>
      </c>
      <c r="B23" t="s">
        <v>211</v>
      </c>
      <c r="C23">
        <v>6</v>
      </c>
      <c r="D23" t="s">
        <v>212</v>
      </c>
      <c r="E23" t="s">
        <v>213</v>
      </c>
      <c r="F23" t="s">
        <v>214</v>
      </c>
      <c r="G23" t="e" vm="36">
        <f>_FV(0,"644764")</f>
        <v>#VALUE!</v>
      </c>
      <c r="H23" t="s">
        <v>215</v>
      </c>
      <c r="I23" t="s">
        <v>216</v>
      </c>
      <c r="J23" t="s">
        <v>217</v>
      </c>
      <c r="K23" t="s">
        <v>218</v>
      </c>
      <c r="L23" t="e" vm="37">
        <f>_FV(0,"6309775")</f>
        <v>#VALUE!</v>
      </c>
    </row>
    <row r="24" spans="1:12" x14ac:dyDescent="0.25">
      <c r="A24">
        <v>1</v>
      </c>
      <c r="B24" t="s">
        <v>219</v>
      </c>
      <c r="C24">
        <v>6</v>
      </c>
      <c r="D24" t="s">
        <v>220</v>
      </c>
      <c r="E24" t="s">
        <v>221</v>
      </c>
      <c r="F24" t="s">
        <v>222</v>
      </c>
      <c r="G24" t="e" vm="38">
        <f>_FV(0,"427169")</f>
        <v>#VALUE!</v>
      </c>
      <c r="H24" t="s">
        <v>223</v>
      </c>
      <c r="I24" t="s">
        <v>224</v>
      </c>
      <c r="J24" t="s">
        <v>225</v>
      </c>
      <c r="K24" t="s">
        <v>226</v>
      </c>
      <c r="L24" t="e" vm="39">
        <f>_FV(0,"596993")</f>
        <v>#VALUE!</v>
      </c>
    </row>
    <row r="25" spans="1:12" x14ac:dyDescent="0.25">
      <c r="A25">
        <v>1</v>
      </c>
      <c r="B25" t="s">
        <v>227</v>
      </c>
      <c r="C25">
        <v>5</v>
      </c>
      <c r="D25" t="s">
        <v>228</v>
      </c>
      <c r="E25" t="s">
        <v>229</v>
      </c>
      <c r="F25" t="s">
        <v>230</v>
      </c>
      <c r="G25" t="e" vm="40">
        <f>_FV(0,"621464")</f>
        <v>#VALUE!</v>
      </c>
      <c r="H25" t="s">
        <v>231</v>
      </c>
      <c r="I25" t="s">
        <v>232</v>
      </c>
      <c r="J25" t="s">
        <v>233</v>
      </c>
      <c r="K25" t="s">
        <v>234</v>
      </c>
      <c r="L25" t="e" vm="41">
        <f>_FV(0,"963685")</f>
        <v>#VALUE!</v>
      </c>
    </row>
    <row r="26" spans="1:12" x14ac:dyDescent="0.25">
      <c r="A26">
        <v>1</v>
      </c>
      <c r="B26" t="s">
        <v>118</v>
      </c>
      <c r="C26">
        <v>5</v>
      </c>
      <c r="D26" t="s">
        <v>235</v>
      </c>
      <c r="E26" t="s">
        <v>236</v>
      </c>
      <c r="F26" t="s">
        <v>237</v>
      </c>
      <c r="G26" t="e" vm="42">
        <f>_FV(0,"477931")</f>
        <v>#VALUE!</v>
      </c>
      <c r="H26" t="s">
        <v>238</v>
      </c>
      <c r="I26" t="s">
        <v>239</v>
      </c>
      <c r="J26" t="s">
        <v>240</v>
      </c>
      <c r="K26" t="s">
        <v>241</v>
      </c>
      <c r="L26" t="e" vm="43">
        <f>_FV(0,"7864745")</f>
        <v>#VALUE!</v>
      </c>
    </row>
    <row r="27" spans="1:12" x14ac:dyDescent="0.25">
      <c r="A27">
        <v>1</v>
      </c>
      <c r="B27" t="s">
        <v>242</v>
      </c>
      <c r="C27">
        <v>5</v>
      </c>
      <c r="D27" t="s">
        <v>243</v>
      </c>
      <c r="E27" t="s">
        <v>244</v>
      </c>
      <c r="F27" t="s">
        <v>245</v>
      </c>
      <c r="G27" t="e" vm="44">
        <f>_FV(0,"53908")</f>
        <v>#VALUE!</v>
      </c>
      <c r="H27" t="s">
        <v>246</v>
      </c>
      <c r="I27" t="s">
        <v>247</v>
      </c>
      <c r="J27" t="s">
        <v>248</v>
      </c>
      <c r="K27" t="s">
        <v>249</v>
      </c>
      <c r="L27" t="e" vm="45">
        <f>_FV(0,"7442515000000001")</f>
        <v>#VALUE!</v>
      </c>
    </row>
    <row r="28" spans="1:12" x14ac:dyDescent="0.25">
      <c r="A28">
        <v>1</v>
      </c>
      <c r="B28" t="s">
        <v>250</v>
      </c>
      <c r="C28">
        <v>5</v>
      </c>
      <c r="D28" t="s">
        <v>251</v>
      </c>
      <c r="E28" t="s">
        <v>252</v>
      </c>
      <c r="F28" t="s">
        <v>253</v>
      </c>
      <c r="G28" t="s">
        <v>254</v>
      </c>
      <c r="H28" t="s">
        <v>255</v>
      </c>
      <c r="I28" t="s">
        <v>256</v>
      </c>
      <c r="J28" t="s">
        <v>257</v>
      </c>
      <c r="K28" t="s">
        <v>258</v>
      </c>
      <c r="L28" t="s">
        <v>259</v>
      </c>
    </row>
    <row r="29" spans="1:12" x14ac:dyDescent="0.25">
      <c r="A29">
        <v>1</v>
      </c>
      <c r="B29" t="s">
        <v>260</v>
      </c>
      <c r="C29">
        <v>4</v>
      </c>
      <c r="D29" t="s">
        <v>261</v>
      </c>
      <c r="E29" t="s">
        <v>262</v>
      </c>
      <c r="F29" t="s">
        <v>263</v>
      </c>
      <c r="G29" t="e" vm="46">
        <f>_FV(0,"704714")</f>
        <v>#VALUE!</v>
      </c>
      <c r="H29" t="s">
        <v>264</v>
      </c>
      <c r="I29" t="s">
        <v>265</v>
      </c>
      <c r="J29" t="s">
        <v>266</v>
      </c>
      <c r="K29" t="s">
        <v>267</v>
      </c>
      <c r="L29" t="e" vm="47">
        <f>_FV(-1,"0452715")</f>
        <v>#VALUE!</v>
      </c>
    </row>
    <row r="30" spans="1:12" x14ac:dyDescent="0.25">
      <c r="A30">
        <v>1</v>
      </c>
      <c r="B30" t="s">
        <v>72</v>
      </c>
      <c r="C30">
        <v>4</v>
      </c>
      <c r="D30" t="s">
        <v>268</v>
      </c>
      <c r="E30" t="s">
        <v>269</v>
      </c>
      <c r="F30" t="s">
        <v>270</v>
      </c>
      <c r="G30" t="e" vm="48">
        <f>_FV(0,"630815")</f>
        <v>#VALUE!</v>
      </c>
      <c r="H30" t="s">
        <v>271</v>
      </c>
      <c r="I30" t="s">
        <v>272</v>
      </c>
      <c r="J30" t="s">
        <v>273</v>
      </c>
      <c r="K30" t="s">
        <v>274</v>
      </c>
      <c r="L30" t="e" vm="49">
        <f>_FV(0,"9585145")</f>
        <v>#VALUE!</v>
      </c>
    </row>
    <row r="31" spans="1:12" x14ac:dyDescent="0.25">
      <c r="A31">
        <v>1</v>
      </c>
      <c r="B31" t="s">
        <v>275</v>
      </c>
      <c r="C31">
        <v>4</v>
      </c>
      <c r="D31" t="s">
        <v>276</v>
      </c>
      <c r="E31" t="s">
        <v>277</v>
      </c>
      <c r="F31" t="s">
        <v>278</v>
      </c>
      <c r="G31" t="e" vm="50">
        <f>_FV(0,"458062")</f>
        <v>#VALUE!</v>
      </c>
      <c r="H31" t="s">
        <v>279</v>
      </c>
      <c r="I31" t="s">
        <v>280</v>
      </c>
      <c r="J31" t="s">
        <v>281</v>
      </c>
      <c r="K31" t="s">
        <v>282</v>
      </c>
      <c r="L31" t="e" vm="51">
        <f>_FV(0,"788354")</f>
        <v>#VALUE!</v>
      </c>
    </row>
    <row r="32" spans="1:12" x14ac:dyDescent="0.25">
      <c r="A32">
        <v>1</v>
      </c>
      <c r="B32" t="s">
        <v>72</v>
      </c>
      <c r="C32">
        <v>4</v>
      </c>
      <c r="D32" t="s">
        <v>283</v>
      </c>
      <c r="E32" t="s">
        <v>284</v>
      </c>
      <c r="F32" t="s">
        <v>285</v>
      </c>
      <c r="G32" t="e" vm="52">
        <f>_FV(0,"599349")</f>
        <v>#VALUE!</v>
      </c>
      <c r="H32" t="s">
        <v>286</v>
      </c>
      <c r="I32" t="s">
        <v>287</v>
      </c>
      <c r="J32" t="s">
        <v>288</v>
      </c>
      <c r="K32" t="s">
        <v>289</v>
      </c>
      <c r="L32" t="e" vm="53">
        <f>_FV(0,"7796115")</f>
        <v>#VALUE!</v>
      </c>
    </row>
    <row r="33" spans="1:12" x14ac:dyDescent="0.25">
      <c r="A33">
        <v>1</v>
      </c>
      <c r="B33" t="s">
        <v>180</v>
      </c>
      <c r="C33">
        <v>4</v>
      </c>
      <c r="D33" t="s">
        <v>290</v>
      </c>
      <c r="E33" t="s">
        <v>291</v>
      </c>
      <c r="F33" t="s">
        <v>292</v>
      </c>
      <c r="G33" t="e" vm="54">
        <f>_FV(0,"583115")</f>
        <v>#VALUE!</v>
      </c>
      <c r="H33" t="s">
        <v>293</v>
      </c>
      <c r="I33" t="s">
        <v>294</v>
      </c>
      <c r="J33" t="s">
        <v>295</v>
      </c>
      <c r="K33" t="s">
        <v>296</v>
      </c>
      <c r="L33" t="e" vm="55">
        <f>_FV(0,"7239025")</f>
        <v>#VALUE!</v>
      </c>
    </row>
    <row r="34" spans="1:12" x14ac:dyDescent="0.25">
      <c r="A34">
        <v>1</v>
      </c>
      <c r="B34" t="s">
        <v>219</v>
      </c>
      <c r="C34">
        <v>4</v>
      </c>
      <c r="D34" t="s">
        <v>297</v>
      </c>
      <c r="E34" t="s">
        <v>298</v>
      </c>
      <c r="F34" t="s">
        <v>299</v>
      </c>
      <c r="G34" t="e" vm="56">
        <f>_FV(0,"456547")</f>
        <v>#VALUE!</v>
      </c>
      <c r="H34" t="s">
        <v>300</v>
      </c>
      <c r="I34" t="s">
        <v>301</v>
      </c>
      <c r="J34" t="s">
        <v>302</v>
      </c>
      <c r="K34" t="s">
        <v>303</v>
      </c>
      <c r="L34" t="e" vm="57">
        <f>_FV(0,"6089399999999999")</f>
        <v>#VALUE!</v>
      </c>
    </row>
    <row r="35" spans="1:12" x14ac:dyDescent="0.25">
      <c r="A35">
        <v>1</v>
      </c>
      <c r="B35" t="s">
        <v>304</v>
      </c>
      <c r="C35">
        <v>4</v>
      </c>
      <c r="D35" t="s">
        <v>305</v>
      </c>
      <c r="E35" t="s">
        <v>306</v>
      </c>
      <c r="F35" t="s">
        <v>307</v>
      </c>
      <c r="G35" t="e" vm="58">
        <f>_FV(0,"527172")</f>
        <v>#VALUE!</v>
      </c>
      <c r="H35" t="s">
        <v>308</v>
      </c>
      <c r="I35" t="s">
        <v>309</v>
      </c>
      <c r="J35" t="s">
        <v>310</v>
      </c>
      <c r="K35" t="s">
        <v>311</v>
      </c>
      <c r="L35" t="e" vm="59">
        <f>_FV(0,"4408525")</f>
        <v>#VALUE!</v>
      </c>
    </row>
    <row r="36" spans="1:12" x14ac:dyDescent="0.25">
      <c r="A36">
        <v>1</v>
      </c>
      <c r="B36" t="s">
        <v>38</v>
      </c>
      <c r="C36">
        <v>4</v>
      </c>
      <c r="D36" t="s">
        <v>312</v>
      </c>
      <c r="E36" t="s">
        <v>313</v>
      </c>
      <c r="F36" t="s">
        <v>314</v>
      </c>
      <c r="G36" t="s">
        <v>315</v>
      </c>
      <c r="H36" t="s">
        <v>316</v>
      </c>
      <c r="I36" t="s">
        <v>317</v>
      </c>
      <c r="J36" t="s">
        <v>318</v>
      </c>
      <c r="K36" t="s">
        <v>319</v>
      </c>
      <c r="L36" t="s">
        <v>320</v>
      </c>
    </row>
    <row r="37" spans="1:12" x14ac:dyDescent="0.25">
      <c r="A37">
        <v>1</v>
      </c>
      <c r="B37" t="s">
        <v>321</v>
      </c>
      <c r="C37">
        <v>3</v>
      </c>
      <c r="D37" t="s">
        <v>322</v>
      </c>
      <c r="E37" t="s">
        <v>323</v>
      </c>
      <c r="F37" t="s">
        <v>324</v>
      </c>
      <c r="G37" t="e" vm="60">
        <f>_FV(0,"684225")</f>
        <v>#VALUE!</v>
      </c>
      <c r="H37" t="s">
        <v>325</v>
      </c>
      <c r="I37" t="s">
        <v>326</v>
      </c>
      <c r="J37" t="s">
        <v>327</v>
      </c>
      <c r="K37" t="s">
        <v>328</v>
      </c>
      <c r="L37" t="e" vm="61">
        <f>_FV(-1,"259614")</f>
        <v>#VALUE!</v>
      </c>
    </row>
    <row r="38" spans="1:12" x14ac:dyDescent="0.25">
      <c r="A38">
        <v>1</v>
      </c>
      <c r="B38" t="s">
        <v>329</v>
      </c>
      <c r="C38">
        <v>3</v>
      </c>
      <c r="D38" t="s">
        <v>330</v>
      </c>
      <c r="E38" t="s">
        <v>331</v>
      </c>
      <c r="F38" t="s">
        <v>332</v>
      </c>
      <c r="G38" t="e" vm="62">
        <f>_FV(0,"575093")</f>
        <v>#VALUE!</v>
      </c>
      <c r="H38" t="s">
        <v>333</v>
      </c>
      <c r="I38" t="s">
        <v>334</v>
      </c>
      <c r="J38" t="s">
        <v>335</v>
      </c>
      <c r="K38" t="s">
        <v>336</v>
      </c>
      <c r="L38" t="e" vm="63">
        <f>_FV(0,"9861175")</f>
        <v>#VALUE!</v>
      </c>
    </row>
    <row r="39" spans="1:12" x14ac:dyDescent="0.25">
      <c r="A39">
        <v>1</v>
      </c>
      <c r="B39" t="s">
        <v>72</v>
      </c>
      <c r="C39">
        <v>3</v>
      </c>
      <c r="D39" t="s">
        <v>337</v>
      </c>
      <c r="E39" t="s">
        <v>338</v>
      </c>
      <c r="F39" t="s">
        <v>339</v>
      </c>
      <c r="G39">
        <v>0</v>
      </c>
      <c r="H39" t="s">
        <v>340</v>
      </c>
      <c r="I39" t="s">
        <v>341</v>
      </c>
      <c r="J39" t="s">
        <v>342</v>
      </c>
      <c r="K39" t="s">
        <v>343</v>
      </c>
      <c r="L39" t="e" vm="64">
        <f>_FV(0,"44333200000000006")</f>
        <v>#VALUE!</v>
      </c>
    </row>
    <row r="40" spans="1:12" x14ac:dyDescent="0.25">
      <c r="A40">
        <v>1</v>
      </c>
      <c r="B40" t="s">
        <v>31</v>
      </c>
      <c r="C40">
        <v>2</v>
      </c>
      <c r="D40" t="s">
        <v>32</v>
      </c>
      <c r="E40" t="s">
        <v>66</v>
      </c>
      <c r="F40" t="s">
        <v>67</v>
      </c>
      <c r="G40" t="e" vm="65">
        <f>_FV(0,"886165")</f>
        <v>#VALUE!</v>
      </c>
      <c r="H40" t="s">
        <v>33</v>
      </c>
      <c r="I40" t="s">
        <v>34</v>
      </c>
      <c r="J40" t="s">
        <v>35</v>
      </c>
      <c r="K40" t="s">
        <v>36</v>
      </c>
      <c r="L40" t="e" vm="66">
        <f>_FV(0,"896066")</f>
        <v>#VALUE!</v>
      </c>
    </row>
    <row r="41" spans="1:12" x14ac:dyDescent="0.25">
      <c r="A41">
        <v>1</v>
      </c>
      <c r="B41" t="s">
        <v>344</v>
      </c>
      <c r="C41">
        <v>2</v>
      </c>
      <c r="D41" t="s">
        <v>345</v>
      </c>
      <c r="E41" t="s">
        <v>346</v>
      </c>
      <c r="F41" t="s">
        <v>347</v>
      </c>
      <c r="G41" t="e" vm="67">
        <f>_FV(0,"412527")</f>
        <v>#VALUE!</v>
      </c>
      <c r="H41" t="s">
        <v>348</v>
      </c>
      <c r="I41" t="s">
        <v>349</v>
      </c>
      <c r="J41" t="s">
        <v>350</v>
      </c>
      <c r="K41" t="s">
        <v>351</v>
      </c>
      <c r="L41" t="e" vm="68">
        <f>_FV(0,"7946115")</f>
        <v>#VALUE!</v>
      </c>
    </row>
    <row r="42" spans="1:12" x14ac:dyDescent="0.25">
      <c r="A42">
        <v>1</v>
      </c>
      <c r="B42" t="s">
        <v>38</v>
      </c>
      <c r="C42">
        <v>2</v>
      </c>
      <c r="D42" t="s">
        <v>352</v>
      </c>
      <c r="E42" t="s">
        <v>353</v>
      </c>
      <c r="F42" t="s">
        <v>354</v>
      </c>
      <c r="G42" t="e" vm="69">
        <f>_FV(0,"812503")</f>
        <v>#VALUE!</v>
      </c>
      <c r="H42" t="s">
        <v>355</v>
      </c>
      <c r="I42" t="s">
        <v>356</v>
      </c>
      <c r="J42" t="s">
        <v>357</v>
      </c>
      <c r="K42" t="s">
        <v>358</v>
      </c>
      <c r="L42" t="e" vm="70">
        <f>_FV(0,"7843285")</f>
        <v>#VALUE!</v>
      </c>
    </row>
    <row r="43" spans="1:12" x14ac:dyDescent="0.25">
      <c r="A43">
        <v>1</v>
      </c>
      <c r="B43" t="s">
        <v>72</v>
      </c>
      <c r="C43">
        <v>2</v>
      </c>
      <c r="D43" t="s">
        <v>359</v>
      </c>
      <c r="E43" t="s">
        <v>360</v>
      </c>
      <c r="F43" t="s">
        <v>361</v>
      </c>
      <c r="G43" t="e" vm="71">
        <f>_FV(0,"582654")</f>
        <v>#VALUE!</v>
      </c>
      <c r="H43" t="s">
        <v>362</v>
      </c>
      <c r="I43" t="s">
        <v>363</v>
      </c>
      <c r="J43" t="s">
        <v>364</v>
      </c>
      <c r="K43" t="s">
        <v>365</v>
      </c>
      <c r="L43" t="e" vm="72">
        <f>_FV(0,"730797")</f>
        <v>#VALUE!</v>
      </c>
    </row>
    <row r="44" spans="1:12" x14ac:dyDescent="0.25">
      <c r="A44">
        <v>1</v>
      </c>
      <c r="B44" t="s">
        <v>366</v>
      </c>
      <c r="C44">
        <v>2</v>
      </c>
      <c r="D44" t="s">
        <v>367</v>
      </c>
      <c r="E44" t="s">
        <v>368</v>
      </c>
      <c r="F44" t="s">
        <v>369</v>
      </c>
      <c r="G44" t="e" vm="73">
        <f>_FV(0,"371501")</f>
        <v>#VALUE!</v>
      </c>
      <c r="H44" t="s">
        <v>370</v>
      </c>
      <c r="I44" t="s">
        <v>371</v>
      </c>
      <c r="J44" t="s">
        <v>372</v>
      </c>
      <c r="K44" t="s">
        <v>373</v>
      </c>
      <c r="L44" t="e" vm="74">
        <f>_FV(0,"6032245")</f>
        <v>#VALUE!</v>
      </c>
    </row>
    <row r="45" spans="1:12" x14ac:dyDescent="0.25">
      <c r="A45">
        <v>1</v>
      </c>
      <c r="B45" t="s">
        <v>374</v>
      </c>
      <c r="C45">
        <v>2</v>
      </c>
      <c r="D45" t="s">
        <v>375</v>
      </c>
      <c r="E45" t="s">
        <v>376</v>
      </c>
      <c r="F45" t="s">
        <v>377</v>
      </c>
      <c r="G45" t="e" vm="75">
        <f>_FV(0,"305519")</f>
        <v>#VALUE!</v>
      </c>
      <c r="H45" t="s">
        <v>378</v>
      </c>
      <c r="I45" t="s">
        <v>379</v>
      </c>
      <c r="J45" t="s">
        <v>380</v>
      </c>
      <c r="K45" t="s">
        <v>381</v>
      </c>
      <c r="L45" t="e" vm="76">
        <f>_FV(0,"23982749999999997")</f>
        <v>#VALUE!</v>
      </c>
    </row>
    <row r="46" spans="1:12" x14ac:dyDescent="0.25">
      <c r="A46">
        <v>1</v>
      </c>
      <c r="B46" t="s">
        <v>219</v>
      </c>
      <c r="C46">
        <v>1</v>
      </c>
      <c r="D46" t="s">
        <v>382</v>
      </c>
      <c r="E46" t="s">
        <v>383</v>
      </c>
      <c r="F46" t="s">
        <v>384</v>
      </c>
      <c r="G46" t="e" vm="77">
        <f>_FV(0,"864135")</f>
        <v>#VALUE!</v>
      </c>
      <c r="H46" t="s">
        <v>385</v>
      </c>
      <c r="I46" t="s">
        <v>386</v>
      </c>
      <c r="J46" t="s">
        <v>387</v>
      </c>
      <c r="K46" t="s">
        <v>388</v>
      </c>
      <c r="L46" t="e" vm="78">
        <f>_FV(-1,"3650335")</f>
        <v>#VALUE!</v>
      </c>
    </row>
    <row r="47" spans="1:12" x14ac:dyDescent="0.25">
      <c r="A47">
        <v>1</v>
      </c>
      <c r="B47" t="s">
        <v>180</v>
      </c>
      <c r="C47">
        <v>1</v>
      </c>
      <c r="D47" t="s">
        <v>389</v>
      </c>
      <c r="E47" t="s">
        <v>390</v>
      </c>
      <c r="F47" t="s">
        <v>391</v>
      </c>
      <c r="G47" t="e" vm="79">
        <f>_FV(0,"487614")</f>
        <v>#VALUE!</v>
      </c>
      <c r="H47" t="s">
        <v>392</v>
      </c>
      <c r="I47" t="s">
        <v>393</v>
      </c>
      <c r="J47" t="s">
        <v>394</v>
      </c>
      <c r="K47" t="s">
        <v>395</v>
      </c>
      <c r="L47" t="e" vm="80">
        <f>_FV(0,"9550915")</f>
        <v>#VALUE!</v>
      </c>
    </row>
    <row r="48" spans="1:12" x14ac:dyDescent="0.25">
      <c r="A48">
        <v>1</v>
      </c>
      <c r="B48" t="s">
        <v>396</v>
      </c>
      <c r="C48">
        <v>1</v>
      </c>
      <c r="D48" t="s">
        <v>397</v>
      </c>
      <c r="E48" t="s">
        <v>398</v>
      </c>
      <c r="F48" t="s">
        <v>399</v>
      </c>
      <c r="G48" t="e" vm="81">
        <f>_FV(0,"276267")</f>
        <v>#VALUE!</v>
      </c>
      <c r="H48" t="s">
        <v>400</v>
      </c>
      <c r="I48" t="s">
        <v>401</v>
      </c>
      <c r="J48" t="s">
        <v>402</v>
      </c>
      <c r="K48" t="s">
        <v>403</v>
      </c>
      <c r="L48" t="e" vm="82">
        <f>_FV(0,"25223249999999997")</f>
        <v>#VALUE!</v>
      </c>
    </row>
    <row r="49" spans="1:12" x14ac:dyDescent="0.25">
      <c r="A49">
        <v>1</v>
      </c>
      <c r="B49" t="s">
        <v>18</v>
      </c>
      <c r="C49">
        <v>1</v>
      </c>
      <c r="D49" t="s">
        <v>70</v>
      </c>
      <c r="E49" t="s">
        <v>71</v>
      </c>
      <c r="F49" t="s">
        <v>69</v>
      </c>
      <c r="G49">
        <v>0</v>
      </c>
      <c r="H49" t="s">
        <v>55</v>
      </c>
      <c r="I49" t="s">
        <v>56</v>
      </c>
      <c r="J49" t="s">
        <v>57</v>
      </c>
      <c r="K49" t="s">
        <v>58</v>
      </c>
      <c r="L49" t="e" vm="83">
        <f>_FV(0,"10916100000000001")</f>
        <v>#VALUE!</v>
      </c>
    </row>
    <row r="50" spans="1:12" x14ac:dyDescent="0.25">
      <c r="A50">
        <v>1</v>
      </c>
      <c r="B50" t="s">
        <v>80</v>
      </c>
      <c r="C50">
        <v>1</v>
      </c>
      <c r="D50" t="s">
        <v>404</v>
      </c>
      <c r="E50" t="s">
        <v>405</v>
      </c>
      <c r="F50" t="s">
        <v>406</v>
      </c>
      <c r="G50" t="s">
        <v>407</v>
      </c>
      <c r="H50" t="s">
        <v>408</v>
      </c>
      <c r="I50" t="s">
        <v>409</v>
      </c>
      <c r="J50" t="s">
        <v>410</v>
      </c>
      <c r="K50" t="s">
        <v>411</v>
      </c>
      <c r="L50" t="s">
        <v>412</v>
      </c>
    </row>
    <row r="51" spans="1:12" x14ac:dyDescent="0.25">
      <c r="A51">
        <v>1</v>
      </c>
      <c r="B51" t="s">
        <v>413</v>
      </c>
      <c r="C51">
        <v>1</v>
      </c>
      <c r="D51" t="s">
        <v>414</v>
      </c>
      <c r="E51" t="s">
        <v>415</v>
      </c>
      <c r="F51" t="s">
        <v>416</v>
      </c>
      <c r="G51" t="s">
        <v>417</v>
      </c>
      <c r="H51" t="s">
        <v>418</v>
      </c>
      <c r="I51" t="s">
        <v>419</v>
      </c>
      <c r="J51" t="s">
        <v>420</v>
      </c>
      <c r="K51" t="s">
        <v>421</v>
      </c>
      <c r="L51" t="s">
        <v>422</v>
      </c>
    </row>
    <row r="52" spans="1:12" x14ac:dyDescent="0.25">
      <c r="A52">
        <v>1</v>
      </c>
      <c r="B52" t="s">
        <v>38</v>
      </c>
      <c r="C52">
        <v>1</v>
      </c>
      <c r="D52" t="s">
        <v>423</v>
      </c>
      <c r="E52" t="s">
        <v>424</v>
      </c>
      <c r="F52" t="s">
        <v>425</v>
      </c>
      <c r="G52" t="s">
        <v>426</v>
      </c>
      <c r="H52" t="s">
        <v>427</v>
      </c>
      <c r="I52" t="s">
        <v>428</v>
      </c>
      <c r="J52" t="s">
        <v>429</v>
      </c>
      <c r="K52" t="s">
        <v>430</v>
      </c>
      <c r="L52" t="s">
        <v>431</v>
      </c>
    </row>
    <row r="53" spans="1:12" x14ac:dyDescent="0.25">
      <c r="A53">
        <v>3</v>
      </c>
      <c r="B53" t="s">
        <v>38</v>
      </c>
      <c r="C53">
        <v>0</v>
      </c>
      <c r="D53" t="s">
        <v>37</v>
      </c>
      <c r="F53" t="s">
        <v>39</v>
      </c>
      <c r="G53" t="e" vm="84">
        <f>_FV(0,"768532")</f>
        <v>#VALUE!</v>
      </c>
      <c r="H53" t="s">
        <v>40</v>
      </c>
      <c r="I53" t="s">
        <v>41</v>
      </c>
      <c r="J53" t="s">
        <v>42</v>
      </c>
      <c r="K53" t="s">
        <v>43</v>
      </c>
      <c r="L53" t="e" vm="85">
        <f>_FV(-1,"334035")</f>
        <v>#VALUE!</v>
      </c>
    </row>
    <row r="54" spans="1:12" x14ac:dyDescent="0.25">
      <c r="A54">
        <v>3</v>
      </c>
      <c r="B54" t="s">
        <v>44</v>
      </c>
      <c r="C54">
        <v>0</v>
      </c>
      <c r="D54" t="s">
        <v>37</v>
      </c>
      <c r="F54" t="s">
        <v>45</v>
      </c>
      <c r="G54" t="e" vm="86">
        <f>_FV(0,"771077")</f>
        <v>#VALUE!</v>
      </c>
      <c r="H54" t="s">
        <v>46</v>
      </c>
      <c r="I54" t="s">
        <v>47</v>
      </c>
      <c r="J54" t="s">
        <v>48</v>
      </c>
      <c r="K54" t="s">
        <v>49</v>
      </c>
      <c r="L54" t="e" vm="87">
        <f>_FV(0,"921444")</f>
        <v>#VALUE!</v>
      </c>
    </row>
    <row r="55" spans="1:12" x14ac:dyDescent="0.25">
      <c r="A55">
        <v>3</v>
      </c>
      <c r="B55" t="s">
        <v>38</v>
      </c>
      <c r="C55">
        <v>0</v>
      </c>
      <c r="D55" t="s">
        <v>37</v>
      </c>
      <c r="F55" t="s">
        <v>432</v>
      </c>
      <c r="G55" t="e" vm="88">
        <f>_FV(0,"566193")</f>
        <v>#VALUE!</v>
      </c>
      <c r="H55" t="s">
        <v>433</v>
      </c>
      <c r="I55" t="s">
        <v>434</v>
      </c>
      <c r="J55" t="s">
        <v>435</v>
      </c>
      <c r="K55" t="s">
        <v>436</v>
      </c>
      <c r="L55" t="e" vm="89">
        <f>_FV(0,"9014119999999999")</f>
        <v>#VALUE!</v>
      </c>
    </row>
    <row r="56" spans="1:12" x14ac:dyDescent="0.25">
      <c r="A56">
        <v>3</v>
      </c>
      <c r="B56" t="s">
        <v>38</v>
      </c>
      <c r="C56">
        <v>0</v>
      </c>
      <c r="D56" t="s">
        <v>37</v>
      </c>
      <c r="F56" t="s">
        <v>437</v>
      </c>
      <c r="G56" t="e" vm="90">
        <f>_FV(0,"649309")</f>
        <v>#VALUE!</v>
      </c>
      <c r="H56" t="s">
        <v>438</v>
      </c>
      <c r="I56" t="s">
        <v>439</v>
      </c>
      <c r="J56" t="s">
        <v>440</v>
      </c>
      <c r="K56" t="s">
        <v>441</v>
      </c>
      <c r="L56" t="e" vm="91">
        <f>_FV(0,"8357745000000001")</f>
        <v>#VALUE!</v>
      </c>
    </row>
    <row r="57" spans="1:12" x14ac:dyDescent="0.25">
      <c r="A57">
        <v>3</v>
      </c>
      <c r="B57" t="s">
        <v>275</v>
      </c>
      <c r="C57">
        <v>0</v>
      </c>
      <c r="D57" t="s">
        <v>37</v>
      </c>
      <c r="F57" t="s">
        <v>442</v>
      </c>
      <c r="G57" t="e" vm="92">
        <f>_FV(0,"586864")</f>
        <v>#VALUE!</v>
      </c>
      <c r="H57" t="s">
        <v>443</v>
      </c>
      <c r="I57" t="s">
        <v>444</v>
      </c>
      <c r="J57" t="s">
        <v>445</v>
      </c>
      <c r="K57" t="s">
        <v>446</v>
      </c>
      <c r="L57" t="e" vm="93">
        <f>_FV(0,"7934265")</f>
        <v>#VALUE!</v>
      </c>
    </row>
    <row r="58" spans="1:12" x14ac:dyDescent="0.25">
      <c r="A58">
        <v>3</v>
      </c>
      <c r="B58" t="s">
        <v>38</v>
      </c>
      <c r="C58">
        <v>0</v>
      </c>
      <c r="D58" t="s">
        <v>37</v>
      </c>
      <c r="F58" t="s">
        <v>447</v>
      </c>
      <c r="G58" t="e" vm="94">
        <f>_FV(0,"419696")</f>
        <v>#VALUE!</v>
      </c>
      <c r="H58" t="s">
        <v>448</v>
      </c>
      <c r="I58" t="s">
        <v>449</v>
      </c>
      <c r="J58" t="s">
        <v>450</v>
      </c>
      <c r="K58" t="s">
        <v>451</v>
      </c>
      <c r="L58" t="e" vm="95">
        <f>_FV(0,"7576615")</f>
        <v>#VALUE!</v>
      </c>
    </row>
    <row r="59" spans="1:12" x14ac:dyDescent="0.25">
      <c r="A59">
        <v>3</v>
      </c>
      <c r="B59" t="s">
        <v>80</v>
      </c>
      <c r="C59">
        <v>0</v>
      </c>
      <c r="D59" t="s">
        <v>37</v>
      </c>
      <c r="F59" t="s">
        <v>452</v>
      </c>
      <c r="G59" t="e" vm="96">
        <f>_FV(0,"774296")</f>
        <v>#VALUE!</v>
      </c>
      <c r="H59" t="s">
        <v>453</v>
      </c>
      <c r="I59" t="s">
        <v>454</v>
      </c>
      <c r="J59" t="s">
        <v>455</v>
      </c>
      <c r="K59" t="s">
        <v>456</v>
      </c>
      <c r="L59" t="e" vm="97">
        <f>_FV(0,"6539545")</f>
        <v>#VALUE!</v>
      </c>
    </row>
    <row r="60" spans="1:12" x14ac:dyDescent="0.25">
      <c r="A60">
        <v>3</v>
      </c>
      <c r="B60" t="s">
        <v>180</v>
      </c>
      <c r="C60">
        <v>0</v>
      </c>
      <c r="D60" t="s">
        <v>37</v>
      </c>
      <c r="F60" t="s">
        <v>457</v>
      </c>
      <c r="G60" t="e" vm="98">
        <f>_FV(0,"48338")</f>
        <v>#VALUE!</v>
      </c>
      <c r="H60" t="s">
        <v>458</v>
      </c>
      <c r="I60" t="s">
        <v>459</v>
      </c>
      <c r="J60" t="s">
        <v>460</v>
      </c>
      <c r="K60" t="s">
        <v>461</v>
      </c>
      <c r="L60" t="e" vm="99">
        <f>_FV(0,"5657114999999999")</f>
        <v>#VALUE!</v>
      </c>
    </row>
    <row r="61" spans="1:12" x14ac:dyDescent="0.25">
      <c r="A61">
        <v>3</v>
      </c>
      <c r="B61" t="s">
        <v>50</v>
      </c>
      <c r="C61">
        <v>0</v>
      </c>
      <c r="D61" t="s">
        <v>37</v>
      </c>
      <c r="F61" t="s">
        <v>68</v>
      </c>
      <c r="G61" t="e" vm="100">
        <f>_FV(0,"401941")</f>
        <v>#VALUE!</v>
      </c>
      <c r="H61" t="s">
        <v>51</v>
      </c>
      <c r="I61" t="s">
        <v>52</v>
      </c>
      <c r="J61" t="s">
        <v>53</v>
      </c>
      <c r="K61" t="s">
        <v>54</v>
      </c>
      <c r="L61" t="e" vm="101">
        <f>_FV(0,"351083")</f>
        <v>#VALUE!</v>
      </c>
    </row>
    <row r="62" spans="1:12" x14ac:dyDescent="0.25">
      <c r="A62">
        <v>3</v>
      </c>
      <c r="B62" t="s">
        <v>18</v>
      </c>
      <c r="C62">
        <v>0</v>
      </c>
      <c r="D62" t="s">
        <v>37</v>
      </c>
      <c r="F62" t="s">
        <v>69</v>
      </c>
      <c r="G62">
        <v>0</v>
      </c>
      <c r="H62" t="s">
        <v>55</v>
      </c>
      <c r="I62" t="s">
        <v>56</v>
      </c>
      <c r="J62" t="s">
        <v>57</v>
      </c>
      <c r="K62" t="s">
        <v>58</v>
      </c>
      <c r="L62" t="e" vm="83">
        <f>_FV(0,"10916100000000001")</f>
        <v>#VALUE!</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9F3BC-BA08-4467-B20D-8EA705ECE2A8}">
  <sheetPr codeName="Feuil27"/>
  <dimension ref="A1:J1"/>
  <sheetViews>
    <sheetView workbookViewId="0"/>
  </sheetViews>
  <sheetFormatPr baseColWidth="10" defaultRowHeight="15.75" x14ac:dyDescent="0.25"/>
  <cols>
    <col min="1" max="1" width="4" bestFit="1" customWidth="1"/>
    <col min="2" max="2" width="8.125" bestFit="1" customWidth="1"/>
    <col min="3" max="3" width="9.75" bestFit="1" customWidth="1"/>
    <col min="4" max="4" width="4" bestFit="1" customWidth="1"/>
    <col min="5" max="5" width="9" bestFit="1" customWidth="1"/>
    <col min="6" max="6" width="7.5" bestFit="1" customWidth="1"/>
    <col min="7" max="7" width="6.75" bestFit="1" customWidth="1"/>
    <col min="8" max="8" width="5.5" bestFit="1" customWidth="1"/>
    <col min="9" max="9" width="3.25" bestFit="1" customWidth="1"/>
    <col min="10" max="10" width="13.75" bestFit="1" customWidth="1"/>
  </cols>
  <sheetData>
    <row r="1" spans="1:10" x14ac:dyDescent="0.25">
      <c r="A1" t="s">
        <v>0</v>
      </c>
      <c r="B1" t="s">
        <v>1</v>
      </c>
      <c r="C1" t="s">
        <v>3</v>
      </c>
      <c r="D1" t="s">
        <v>5</v>
      </c>
      <c r="E1" t="s">
        <v>6</v>
      </c>
      <c r="F1" t="s">
        <v>7</v>
      </c>
      <c r="G1" t="s">
        <v>8</v>
      </c>
      <c r="H1" t="s">
        <v>9</v>
      </c>
      <c r="I1" t="s">
        <v>10</v>
      </c>
      <c r="J1" t="s">
        <v>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2</vt:i4>
      </vt:variant>
    </vt:vector>
  </HeadingPairs>
  <TitlesOfParts>
    <vt:vector size="4" baseType="lpstr">
      <vt:lpstr>Articles Oui_MANA</vt:lpstr>
      <vt:lpstr>Articles Non_MANA</vt:lpstr>
      <vt:lpstr>'Articles Non_MANA'!Non_MANA_articles</vt:lpstr>
      <vt:lpstr>'Articles Oui_MANA'!Oui_MANA_articles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POUZADA</dc:creator>
  <cp:lastModifiedBy>Daniel Pouzada</cp:lastModifiedBy>
  <dcterms:created xsi:type="dcterms:W3CDTF">2019-02-06T10:17:54Z</dcterms:created>
  <dcterms:modified xsi:type="dcterms:W3CDTF">2019-06-15T19:51:04Z</dcterms:modified>
</cp:coreProperties>
</file>